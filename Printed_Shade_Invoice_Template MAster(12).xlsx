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voice Template" sheetId="1" r:id="rId4"/>
    <sheet state="visible" name="Customer Database" sheetId="2" r:id="rId5"/>
    <sheet state="visible" name="Pricing Data" sheetId="3" r:id="rId6"/>
    <sheet state="visible" name="Instructions" sheetId="4" r:id="rId7"/>
  </sheets>
  <definedNames>
    <definedName name="ColorTable">'Pricing Data'!$A$17:$B$21</definedName>
    <definedName name="CoverageTable">'Pricing Data'!$A$10:$B$13</definedName>
    <definedName name="SizeTable">'Pricing Data'!$A$3:$B$6</definedName>
  </definedNames>
  <calcPr/>
  <extLst>
    <ext uri="GoogleSheetsCustomDataVersion2">
      <go:sheetsCustomData xmlns:go="http://customooxmlschemas.google.com/" r:id="rId8" roundtripDataChecksum="eAxDkv9Q7Ea8J+3D2Ne/5VPGOlT3DoXfwObup8vsLSw="/>
    </ext>
  </extLst>
</workbook>
</file>

<file path=xl/sharedStrings.xml><?xml version="1.0" encoding="utf-8"?>
<sst xmlns="http://schemas.openxmlformats.org/spreadsheetml/2006/main" count="850" uniqueCount="532">
  <si>
    <t>Innovative Brand Exposure Through Printed Shadenet Products</t>
  </si>
  <si>
    <t>Email:</t>
  </si>
  <si>
    <t>marketing@printedshade.co.za</t>
  </si>
  <si>
    <t>INVOICE</t>
  </si>
  <si>
    <t>Address:</t>
  </si>
  <si>
    <t>Unit 10, Celie Industrial Park Celie Rd, Retreat, Cape Town</t>
  </si>
  <si>
    <t>Invoice No:</t>
  </si>
  <si>
    <t>PS-2025-001</t>
  </si>
  <si>
    <t>Website:</t>
  </si>
  <si>
    <t>www.printedshade.co.za</t>
  </si>
  <si>
    <t>Date:</t>
  </si>
  <si>
    <t>Contact:</t>
  </si>
  <si>
    <t>082 331 5379</t>
  </si>
  <si>
    <t>Due Date:</t>
  </si>
  <si>
    <t>TAX INVOICE</t>
  </si>
  <si>
    <t>BILL TO:</t>
  </si>
  <si>
    <t>INVOICE DETAILS:</t>
  </si>
  <si>
    <t>Company:</t>
  </si>
  <si>
    <t>Isipani Construction (Pty) Ltd</t>
  </si>
  <si>
    <t>Client:</t>
  </si>
  <si>
    <t>Payment Terms:</t>
  </si>
  <si>
    <t>Net 30 days</t>
  </si>
  <si>
    <t>VAT No:</t>
  </si>
  <si>
    <t>Logo 1</t>
  </si>
  <si>
    <t>Name:</t>
  </si>
  <si>
    <t>Size:</t>
  </si>
  <si>
    <t>Medium</t>
  </si>
  <si>
    <t>Unit Price:</t>
  </si>
  <si>
    <t>Coverage:</t>
  </si>
  <si>
    <t>Print Size (m):</t>
  </si>
  <si>
    <t>Print Height (m)</t>
  </si>
  <si>
    <t>Colors:</t>
  </si>
  <si>
    <t>Total Number Of Prints:</t>
  </si>
  <si>
    <t>Number of Prints per roll:</t>
  </si>
  <si>
    <t>Line Total:</t>
  </si>
  <si>
    <t>Layout:</t>
  </si>
  <si>
    <t>Artwork Setup fee:</t>
  </si>
  <si>
    <t>Logo 2</t>
  </si>
  <si>
    <t>Small</t>
  </si>
  <si>
    <t>Print Size:</t>
  </si>
  <si>
    <t>Print Height:</t>
  </si>
  <si>
    <t>Colours:</t>
  </si>
  <si>
    <t>Shade Cloth</t>
  </si>
  <si>
    <t>Description:</t>
  </si>
  <si>
    <t>Shade Cloth Roll Black</t>
  </si>
  <si>
    <t>Quantity:</t>
  </si>
  <si>
    <t>Shade Cloth Size:</t>
  </si>
  <si>
    <t>Total Print Quantity:</t>
  </si>
  <si>
    <t>Volume Discount Amount:</t>
  </si>
  <si>
    <t>Banking Details:</t>
  </si>
  <si>
    <t>Bank:</t>
  </si>
  <si>
    <t>[Your Bank]</t>
  </si>
  <si>
    <t>Print Jobs Subtotal:</t>
  </si>
  <si>
    <t>Account:</t>
  </si>
  <si>
    <t>[Account Number]</t>
  </si>
  <si>
    <t>Volume Discount Rate:</t>
  </si>
  <si>
    <t>Branch Code:</t>
  </si>
  <si>
    <t>[Branch Code]</t>
  </si>
  <si>
    <t>Less: Volume Discount:</t>
  </si>
  <si>
    <t>Shade Cloth Roll:</t>
  </si>
  <si>
    <t>Terms &amp; Conditions:</t>
  </si>
  <si>
    <t>Subtotal:</t>
  </si>
  <si>
    <t>• Payment due within 30 days of invoice date</t>
  </si>
  <si>
    <t>VAT (15%):</t>
  </si>
  <si>
    <t>• Late payments subject to 2% monthly service charge</t>
  </si>
  <si>
    <t>• Goods remain property of Printed Shade until paid in full</t>
  </si>
  <si>
    <t>TOTAL AMOUNT DUE:</t>
  </si>
  <si>
    <t>Deposit Required (50%)</t>
  </si>
  <si>
    <t>Balance Due on Completion:</t>
  </si>
  <si>
    <t>True Motives 1130 cc t/a Printed Shadenet Solutions CK 2002/027324/23 VAT 4590213502 Members: Sandi Godfrey</t>
  </si>
  <si>
    <t>Client Name</t>
  </si>
  <si>
    <t>Company Type</t>
  </si>
  <si>
    <t>Primary Contact</t>
  </si>
  <si>
    <t>Phone</t>
  </si>
  <si>
    <t>Email</t>
  </si>
  <si>
    <t>Address</t>
  </si>
  <si>
    <t>VAT Number</t>
  </si>
  <si>
    <t>Total Revenue</t>
  </si>
  <si>
    <t>Last Order Value</t>
  </si>
  <si>
    <t>Average Order Value</t>
  </si>
  <si>
    <t>Payment Terms</t>
  </si>
  <si>
    <t>Credit Limit</t>
  </si>
  <si>
    <t>Outstanding Balance</t>
  </si>
  <si>
    <t>Client Status</t>
  </si>
  <si>
    <t>First Order Date</t>
  </si>
  <si>
    <t>Last Order Date</t>
  </si>
  <si>
    <t>Total Orders</t>
  </si>
  <si>
    <t>Days Since Last Order</t>
  </si>
  <si>
    <t>Client Priority</t>
  </si>
  <si>
    <t>Client Tier</t>
  </si>
  <si>
    <t>Annual Revenue Potential</t>
  </si>
  <si>
    <t>Growth Trend</t>
  </si>
  <si>
    <t>Strategic Value</t>
  </si>
  <si>
    <t>Risk Level</t>
  </si>
  <si>
    <t>Next Action</t>
  </si>
  <si>
    <t>Preferred Colors</t>
  </si>
  <si>
    <t>Standard Sizes</t>
  </si>
  <si>
    <t>Typical Quantity</t>
  </si>
  <si>
    <t>Lead Time Required</t>
  </si>
  <si>
    <t>Quality Requirements</t>
  </si>
  <si>
    <t>Special Instructions</t>
  </si>
  <si>
    <t>Notes</t>
  </si>
  <si>
    <t>Washirika 3 Oaks</t>
  </si>
  <si>
    <t>Construction Company</t>
  </si>
  <si>
    <t>Yolande Hunter</t>
  </si>
  <si>
    <t>021 671 6250</t>
  </si>
  <si>
    <t>yolande@w3o.co.za</t>
  </si>
  <si>
    <t>76 Strand Street, Woodstock</t>
  </si>
  <si>
    <t>50% deposit, balance before dispatch</t>
  </si>
  <si>
    <t>Active</t>
  </si>
  <si>
    <t>PLATINUM Client (9+ orders)</t>
  </si>
  <si>
    <t>PLATINUM</t>
  </si>
  <si>
    <t>Expanding</t>
  </si>
  <si>
    <t>CRITICAL - Partnership Development</t>
  </si>
  <si>
    <t>Low</t>
  </si>
  <si>
    <t>Partnership expansion discussion</t>
  </si>
  <si>
    <t>Green and white</t>
  </si>
  <si>
    <t>2000mm x 790mm</t>
  </si>
  <si>
    <t>40+ prints per order</t>
  </si>
  <si>
    <t>10-12 working days</t>
  </si>
  <si>
    <t>High-quality outdoor durability</t>
  </si>
  <si>
    <t>Two-color printing, Cape Town + Johannesburg operations</t>
  </si>
  <si>
    <t>PLATINUM CLIENT - Most valuable client with true partnership potential. Multi-branch operations across Cape Town and Johannesburg.</t>
  </si>
  <si>
    <t>Lyndall Sheldon</t>
  </si>
  <si>
    <t>021 868 3008</t>
  </si>
  <si>
    <t>lyndall@isipani.co.za</t>
  </si>
  <si>
    <t>VIP Client (5+ orders)</t>
  </si>
  <si>
    <t>VIP</t>
  </si>
  <si>
    <t>Growing order values</t>
  </si>
  <si>
    <t>HIGH - Potential PLATINUM</t>
  </si>
  <si>
    <t>Follow-up after 6+ months silence</t>
  </si>
  <si>
    <t>Premium grade construction</t>
  </si>
  <si>
    <t>High-value orders, increasing sizes</t>
  </si>
  <si>
    <t>VIP CLIENT - Highest average order value, growing from R24k to R49k orders. Premium construction client.</t>
  </si>
  <si>
    <t>Tri-Star Construction</t>
  </si>
  <si>
    <t>Charmagne Monk</t>
  </si>
  <si>
    <t>084 510 5692</t>
  </si>
  <si>
    <t>charmagne@tri-star.co.za</t>
  </si>
  <si>
    <t>VIP Client (4+ orders)</t>
  </si>
  <si>
    <t>Rapid expansion</t>
  </si>
  <si>
    <t>CRITICAL - Major growth potential</t>
  </si>
  <si>
    <t>Capitalize on growth momentum</t>
  </si>
  <si>
    <t>Standard construction</t>
  </si>
  <si>
    <t>Recent R52k order indicates major expansion</t>
  </si>
  <si>
    <t>BREAKTHROUGH CLIENT - Recent R52,900 order shows major project expansion. PLATINUM potential.</t>
  </si>
  <si>
    <t>Digi Worx CC</t>
  </si>
  <si>
    <t>Design/Media/Tech</t>
  </si>
  <si>
    <t>Masego Mogashane</t>
  </si>
  <si>
    <t>031 492 5642</t>
  </si>
  <si>
    <t>masego.mogashane.co.za</t>
  </si>
  <si>
    <t>CRITICAL - Tech Sector Breakthrough</t>
  </si>
  <si>
    <t>HIGH-POTENTIAL</t>
  </si>
  <si>
    <t>Unknown - needs immediate contact</t>
  </si>
  <si>
    <t>CRITICAL - Sector breakthrough</t>
  </si>
  <si>
    <t>HIGH - No follow-up</t>
  </si>
  <si>
    <t>IMMEDIATE contact within 24 hours</t>
  </si>
  <si>
    <t>Tech/Media grade</t>
  </si>
  <si>
    <t>Largest single order in database</t>
  </si>
  <si>
    <t>CRITICAL FOLLOW-UP - R106k tech order, zero follow-up since March. Durban-based, tech sector breakthrough.</t>
  </si>
  <si>
    <t>Boundary Secure Fencing PTY LTD</t>
  </si>
  <si>
    <t>Bradley Oldfield</t>
  </si>
  <si>
    <t>082 598 4410</t>
  </si>
  <si>
    <t>brad@boundarysecure.co.za</t>
  </si>
  <si>
    <t>VIP Client (6+ orders)</t>
  </si>
  <si>
    <t>Stable consistent</t>
  </si>
  <si>
    <t>HIGH - Property development specialist</t>
  </si>
  <si>
    <t>Regular quarterly check-in</t>
  </si>
  <si>
    <t>Property grade construction</t>
  </si>
  <si>
    <t>Works with Sitari Country Estate projects</t>
  </si>
  <si>
    <t>VIP CLIENT - Consistent repeat client specializing in property development. Works with Sitari Country Estate.</t>
  </si>
  <si>
    <t>Remey Construction (Pty) Ltd</t>
  </si>
  <si>
    <t>Maruis Grobler</t>
  </si>
  <si>
    <t>021 883 2616</t>
  </si>
  <si>
    <t>buyer@remey.co.za</t>
  </si>
  <si>
    <t>9 Papegaai Street, Stellenbosch, 7600</t>
  </si>
  <si>
    <t>VIP Client (8+ orders)</t>
  </si>
  <si>
    <t>Stable frequent</t>
  </si>
  <si>
    <t>HIGH - Most frequent client</t>
  </si>
  <si>
    <t>Relationship maintenance call</t>
  </si>
  <si>
    <t>One colour</t>
  </si>
  <si>
    <t>2m x 0.3m</t>
  </si>
  <si>
    <t>39 logos per order</t>
  </si>
  <si>
    <t>5 prints per roll with 6.6m gaps</t>
  </si>
  <si>
    <t>VIP CLIENT - Most frequent client (8 orders). Stellenbosch-based, reliable repeat business.</t>
  </si>
  <si>
    <t>Terbinex (PTY) Ltd</t>
  </si>
  <si>
    <t>Kalla Laubscher</t>
  </si>
  <si>
    <t>079 526 4256</t>
  </si>
  <si>
    <t>kalla@plumbcore.co.za</t>
  </si>
  <si>
    <t>CRITICAL - Large Construction Opportunity</t>
  </si>
  <si>
    <t>Unknown - dormant 9+ months</t>
  </si>
  <si>
    <t>CRITICAL - Major construction opportunity</t>
  </si>
  <si>
    <t>HIGH - Long dormant</t>
  </si>
  <si>
    <t>IMMEDIATE reactivation call</t>
  </si>
  <si>
    <t>Zero follow-up since September 2024</t>
  </si>
  <si>
    <t>CRITICAL FOLLOW-UP - R77k order, 9+ months no contact. Major construction company opportunity.</t>
  </si>
  <si>
    <t>JNA Group (Pty) Ltd</t>
  </si>
  <si>
    <t>Tania Schoeman</t>
  </si>
  <si>
    <t>021 919 8397</t>
  </si>
  <si>
    <t>buyer@jnagroup.co.za</t>
  </si>
  <si>
    <t>HIGH - Multi-division group</t>
  </si>
  <si>
    <t>Regular business development</t>
  </si>
  <si>
    <t>Consolidated: Projects/Group/Thatchers divisions</t>
  </si>
  <si>
    <t>VIP CLIENT - Multi-division construction group. Consolidated entity across Projects, Group, and Thatchers.</t>
  </si>
  <si>
    <t>Hot 1027 Pty Limited</t>
  </si>
  <si>
    <t>Design/Media</t>
  </si>
  <si>
    <t>Carmen Rocha</t>
  </si>
  <si>
    <t>073 47 67 522</t>
  </si>
  <si>
    <t>carmen@hot1027.co.za</t>
  </si>
  <si>
    <t>CRITICAL - Media Sector Expansion</t>
  </si>
  <si>
    <t>CRITICAL - Media sector expansion</t>
  </si>
  <si>
    <t>IMMEDIATE sector development call</t>
  </si>
  <si>
    <t>Media/design grade</t>
  </si>
  <si>
    <t>Media company - sector breakthrough potential</t>
  </si>
  <si>
    <t>CRITICAL FOLLOW-UP - Media company, R57k order, 9 months dormant. Could unlock media sector.</t>
  </si>
  <si>
    <t>Growtime Construction</t>
  </si>
  <si>
    <t>Stefan Botha</t>
  </si>
  <si>
    <t>076 022 8809</t>
  </si>
  <si>
    <t>stefan@builderscorner.co.za</t>
  </si>
  <si>
    <t>CRITICAL - Major Builder Recovery</t>
  </si>
  <si>
    <t>Unknown - severely dormant</t>
  </si>
  <si>
    <t>CRITICAL - Major builder recovery</t>
  </si>
  <si>
    <t>VERY HIGH - 17+ months dormant</t>
  </si>
  <si>
    <t>IMMEDIATE relationship recovery call</t>
  </si>
  <si>
    <t>17+ months no contact - relationship recovery needed</t>
  </si>
  <si>
    <t>CRITICAL RECOVERY - R54k construction order, 17 months no follow-up. Major builder relationship recovery.</t>
  </si>
  <si>
    <t>Multiknit (Pty) Ltd T/A Knittex</t>
  </si>
  <si>
    <t>Manufacturing</t>
  </si>
  <si>
    <t>Annelien Van Janse Renesburg</t>
  </si>
  <si>
    <t>082 260 6788</t>
  </si>
  <si>
    <t>buyer@knittex.co.za</t>
  </si>
  <si>
    <t>Regular Client (4+ orders)</t>
  </si>
  <si>
    <t>REGULAR</t>
  </si>
  <si>
    <t>MEDIUM - Manufacturing diversification</t>
  </si>
  <si>
    <t>Regular business maintenance</t>
  </si>
  <si>
    <t>Manufacturing grade</t>
  </si>
  <si>
    <t>Non-construction client, textile applications</t>
  </si>
  <si>
    <t>REGULAR CLIENT - Manufacturing sector diversification. Consistent repeat business, specialized niche.</t>
  </si>
  <si>
    <t>Skyfall Development Properties (PTY) LTD</t>
  </si>
  <si>
    <t>Property Developer</t>
  </si>
  <si>
    <t>Stefan Louw</t>
  </si>
  <si>
    <t>072 845 6947</t>
  </si>
  <si>
    <t>joann@skyfall.co.za</t>
  </si>
  <si>
    <t>High-Value Single Order</t>
  </si>
  <si>
    <t>OPPORTUNITY</t>
  </si>
  <si>
    <t>Unknown - needs follow-up</t>
  </si>
  <si>
    <t>HIGH - Property development sector</t>
  </si>
  <si>
    <t>Follow-up for repeat business</t>
  </si>
  <si>
    <t>Property development grade</t>
  </si>
  <si>
    <t>Large property development order</t>
  </si>
  <si>
    <t>HIGH POTENTIAL - Large property development order. Represents growth opportunity in property sector.</t>
  </si>
  <si>
    <t>Capeprop Estates (Pty) Ltd</t>
  </si>
  <si>
    <t>Malinda Fraser</t>
  </si>
  <si>
    <t>021 701 2446</t>
  </si>
  <si>
    <t>constantia@sothebysrealtyss.co.za</t>
  </si>
  <si>
    <t>Unknown - long dormant</t>
  </si>
  <si>
    <t>MEDIUM - Property sector</t>
  </si>
  <si>
    <t>HIGH - Very long dormant</t>
  </si>
  <si>
    <t>Reactivation after 16+ months</t>
  </si>
  <si>
    <t>Property developer - needs reactivation</t>
  </si>
  <si>
    <t>OPPORTUNITY - Property developer with R37k order but 16+ months dormant. Needs immediate reactivation.</t>
  </si>
  <si>
    <t>Plusnet/Geotex</t>
  </si>
  <si>
    <t>Piet Buitendag</t>
  </si>
  <si>
    <t>011 412 3954</t>
  </si>
  <si>
    <t>pietbu@masterplasticsgroup.com</t>
  </si>
  <si>
    <t>MEDIUM - Industrial applications</t>
  </si>
  <si>
    <t>Industrial grade</t>
  </si>
  <si>
    <t>Johannesburg-based industrial client</t>
  </si>
  <si>
    <t>OPPORTUNITY - Industrial client R37k order, 16+ months dormant. Johannesburg presence, needs reactivation.</t>
  </si>
  <si>
    <t>Mimosa Arcade Holdings (Pty) Ltd</t>
  </si>
  <si>
    <t>Gabrielle Weinstein</t>
  </si>
  <si>
    <t>021 439 9030</t>
  </si>
  <si>
    <t>gabi@bermanbros.co.za</t>
  </si>
  <si>
    <t>Repeat Client (2+ orders)</t>
  </si>
  <si>
    <t>REPEAT</t>
  </si>
  <si>
    <t>Early development</t>
  </si>
  <si>
    <t>MEDIUM - Property developer</t>
  </si>
  <si>
    <t>MEDIUM - Needs contact</t>
  </si>
  <si>
    <t>Follow-up after 12+ months</t>
  </si>
  <si>
    <t>Berman Bros Group - property development</t>
  </si>
  <si>
    <t>REPEAT CLIENT - Property developer, part of Berman Bros Group. Two orders but needs reactivation after 12+ months.</t>
  </si>
  <si>
    <t>Phonic Properties (PTY) LTD</t>
  </si>
  <si>
    <t>Sollie Potgieter</t>
  </si>
  <si>
    <t>012 809 3990</t>
  </si>
  <si>
    <t>sollie@pmagroup.co.za</t>
  </si>
  <si>
    <t>Early growth</t>
  </si>
  <si>
    <t>MEDIUM - Property development</t>
  </si>
  <si>
    <t>Business development call</t>
  </si>
  <si>
    <t>PMA Group, Johannesburg-based</t>
  </si>
  <si>
    <t>REPEAT CLIENT - Part of PMA Group, Johannesburg-based. Early growth indicators, property development focus.</t>
  </si>
  <si>
    <t>Aview (PTY) Ltd</t>
  </si>
  <si>
    <t>Jess de Kock</t>
  </si>
  <si>
    <t>060 528 6328</t>
  </si>
  <si>
    <t>jess@manor.life</t>
  </si>
  <si>
    <t>Unknown - dormant</t>
  </si>
  <si>
    <t>Property sector development call</t>
  </si>
  <si>
    <t>Property developer, 7+ months dormant</t>
  </si>
  <si>
    <t>OPPORTUNITY - Property developer with good R27k order. 7+ months dormant, needs follow-up for repeat business.</t>
  </si>
  <si>
    <t>Power Construction (Pty) Ltd</t>
  </si>
  <si>
    <t>Zuriena Adams</t>
  </si>
  <si>
    <t>021 907 1300</t>
  </si>
  <si>
    <t>Medium-Value Single Order</t>
  </si>
  <si>
    <t>MEDIUM - Construction potential</t>
  </si>
  <si>
    <t>Reactivation call, get email address</t>
  </si>
  <si>
    <t>Missing email address, long dormant</t>
  </si>
  <si>
    <t>OPPORTUNITY - R25k construction order, 13+ months dormant. Missing email address, needs reactivation.</t>
  </si>
  <si>
    <t>Base Projects</t>
  </si>
  <si>
    <t>Shihaam Behardien</t>
  </si>
  <si>
    <t>021 447 5507</t>
  </si>
  <si>
    <t>buying@baseprojects.co.za</t>
  </si>
  <si>
    <t>Stable small orders</t>
  </si>
  <si>
    <t>MEDIUM - Repeat potential</t>
  </si>
  <si>
    <t>Two orders, needs reactivation</t>
  </si>
  <si>
    <t>REPEAT CLIENT - Two orders totaling R22k. 12+ months since last contact, needs reactivation for repeat business.</t>
  </si>
  <si>
    <t>Faumba Holdings (Pty) Ltd t/a Longworth &amp; Faul</t>
  </si>
  <si>
    <t>Carmen Baron</t>
  </si>
  <si>
    <t>021 862 2120</t>
  </si>
  <si>
    <t>buyer@longworthfaul.co.za</t>
  </si>
  <si>
    <t>16 Zuidmeer St, Huguenot, Paarl, 7646</t>
  </si>
  <si>
    <t>Repeat Client (3+ orders)</t>
  </si>
  <si>
    <t>MEDIUM - Geographic expansion</t>
  </si>
  <si>
    <t>Regular maintenance contact</t>
  </si>
  <si>
    <t>Paarl-based, multiple small orders</t>
  </si>
  <si>
    <t>REPEAT CLIENT - Paarl-based client, 3 orders over time. Geographic diversification value, stable small orders.</t>
  </si>
  <si>
    <t>Transline Trading (PTY) LTD</t>
  </si>
  <si>
    <t>Marcel Henle</t>
  </si>
  <si>
    <t>marcelhenle@gmail.com</t>
  </si>
  <si>
    <t>Unknown - recent</t>
  </si>
  <si>
    <t>MEDIUM - Follow-up potential</t>
  </si>
  <si>
    <t>MEDIUM - Missing phone</t>
  </si>
  <si>
    <t>Follow-up call, get phone number</t>
  </si>
  <si>
    <t>Recent order, missing phone contact</t>
  </si>
  <si>
    <t>OPPORTUNITY - Recent R20k order, missing phone number. Good follow-up potential for repeat business.</t>
  </si>
  <si>
    <t>Nexus Building Contractors (Pty) Ltd</t>
  </si>
  <si>
    <t>Leonard le Roux</t>
  </si>
  <si>
    <t>+264 67 313770</t>
  </si>
  <si>
    <t>leonard.leroux@nexusgroup.com.na</t>
  </si>
  <si>
    <t>MEDIUM - International expansion</t>
  </si>
  <si>
    <t>International client reactivation</t>
  </si>
  <si>
    <t>Namibian client - international expansion</t>
  </si>
  <si>
    <t>OPPORTUNITY - Namibian client R20k order, 13+ months dormant. International expansion potential.</t>
  </si>
  <si>
    <t>JDV Construction Boland</t>
  </si>
  <si>
    <t>Jacques de Villiers</t>
  </si>
  <si>
    <t>072 5206 903</t>
  </si>
  <si>
    <t>jacques@jdv-construction.co.za</t>
  </si>
  <si>
    <t>MEDIUM - Regional expansion</t>
  </si>
  <si>
    <t>Regional client reactivation</t>
  </si>
  <si>
    <t>Boland region client, needs reactivation</t>
  </si>
  <si>
    <t>OPPORTUNITY - Boland region client R18k order, 13+ months dormant. Regional expansion potential.</t>
  </si>
  <si>
    <t>Evening Shade Properties 109 (Pty) Ltd</t>
  </si>
  <si>
    <t>Russell Honeywill</t>
  </si>
  <si>
    <t>083 600 2219</t>
  </si>
  <si>
    <t>russ.cx@gmail.com</t>
  </si>
  <si>
    <t>Property sector reactivation</t>
  </si>
  <si>
    <t>Property developer, 14+ months dormant</t>
  </si>
  <si>
    <t>OPPORTUNITY - Property developer R17k order, 14+ months dormant. Property sector reactivation needed.</t>
  </si>
  <si>
    <t>Wagters</t>
  </si>
  <si>
    <t>Liezel Moller</t>
  </si>
  <si>
    <t>082 958 9304</t>
  </si>
  <si>
    <t>info@wagters.co.za</t>
  </si>
  <si>
    <t>MEDIUM - Conversion potential</t>
  </si>
  <si>
    <t>Reactivation call</t>
  </si>
  <si>
    <t>9+ months dormant, decent order value</t>
  </si>
  <si>
    <t>OPPORTUNITY - R16k order, 9+ months dormant. Decent conversion prospect if contacted promptly.</t>
  </si>
  <si>
    <t>Berrisford Construction</t>
  </si>
  <si>
    <t>Sharilyn Meyer</t>
  </si>
  <si>
    <t>021 447 9053</t>
  </si>
  <si>
    <t>sharilyn@berrisfordconstruction.co.za</t>
  </si>
  <si>
    <t>Construction sector follow-up</t>
  </si>
  <si>
    <t>9+ months dormant construction client</t>
  </si>
  <si>
    <t>OPPORTUNITY - Construction client R16k order, 9+ months dormant. Good construction sector potential.</t>
  </si>
  <si>
    <t>Green Cube Construction</t>
  </si>
  <si>
    <t>Marius Smit</t>
  </si>
  <si>
    <t>082 909 2918</t>
  </si>
  <si>
    <t>www.gc-group.co.za</t>
  </si>
  <si>
    <t>Reactivation, verify email format</t>
  </si>
  <si>
    <t>Email appears to be website, needs verification</t>
  </si>
  <si>
    <t>OPPORTUNITY - R15k construction order, 13+ months dormant. Email format needs verification (appears to be website).</t>
  </si>
  <si>
    <t>Trencon Construction</t>
  </si>
  <si>
    <t>Anje Coetzee</t>
  </si>
  <si>
    <t>010 0557280</t>
  </si>
  <si>
    <t>anje@trencon.co.za</t>
  </si>
  <si>
    <t>Unit 9, Reserve 4,15 Capricorn Way</t>
  </si>
  <si>
    <t>LOW - Small orders</t>
  </si>
  <si>
    <t>Two small orders, 16+ months dormant</t>
  </si>
  <si>
    <t>REPEAT CLIENT - Two small orders totaling R13k. 16+ months dormant, needs reactivation assessment.</t>
  </si>
  <si>
    <t>Afriline Civils</t>
  </si>
  <si>
    <t>Rhuan Marais</t>
  </si>
  <si>
    <t>079 892 0056</t>
  </si>
  <si>
    <t>rhuan@afriline.co.za</t>
  </si>
  <si>
    <t>MEDIUM - Civil engineering niche</t>
  </si>
  <si>
    <t>Civil engineering sector follow-up</t>
  </si>
  <si>
    <t>Civil engineering grade</t>
  </si>
  <si>
    <t>Civil engineering contractor, 13+ months dormant</t>
  </si>
  <si>
    <t>OPPORTUNITY - Civil engineering contractor R13k order, 13+ months dormant. Specialized niche potential.</t>
  </si>
  <si>
    <t>CS Property Group (Pty) Ltd</t>
  </si>
  <si>
    <t>Colleen Ferguson</t>
  </si>
  <si>
    <t>021 880 2672</t>
  </si>
  <si>
    <t>colleen@csprop.co.za</t>
  </si>
  <si>
    <t>Property group, 16+ months dormant</t>
  </si>
  <si>
    <t>OPPORTUNITY - Property group R13k order, 16+ months dormant. Property sector reactivation needed.</t>
  </si>
  <si>
    <t>Eddie Stemmet Bouers (PTY) LTD</t>
  </si>
  <si>
    <t>Denise Stoop</t>
  </si>
  <si>
    <t>+27 23 614 1211</t>
  </si>
  <si>
    <t>denise@esbou.co.za</t>
  </si>
  <si>
    <t>Stable medium orders</t>
  </si>
  <si>
    <t>MEDIUM - Regional presence</t>
  </si>
  <si>
    <t>Reactivation after 8+ months</t>
  </si>
  <si>
    <t>Regional construction, multiple entities</t>
  </si>
  <si>
    <t>REPEAT CLIENT - Regional construction company, 3 orders totaling R62k. 8+ months since contact, needs reactivation.</t>
  </si>
  <si>
    <t>Valley Electrical Contractors Pty Ltd</t>
  </si>
  <si>
    <t>Electrical Contractor</t>
  </si>
  <si>
    <t>Petrie Korf</t>
  </si>
  <si>
    <t>petrie@valleyelectrical.co.za</t>
  </si>
  <si>
    <t>MEDIUM - Specialized niche</t>
  </si>
  <si>
    <t>Specialized sector development</t>
  </si>
  <si>
    <t>Electrical contractor grade</t>
  </si>
  <si>
    <t>Electrical contractor, specialized niche</t>
  </si>
  <si>
    <t>OPPORTUNITY - Electrical contractor R12k order, 2+ months since contact. Specialized niche market potential.</t>
  </si>
  <si>
    <t>R + N Master Builders Cape</t>
  </si>
  <si>
    <t>Charles Adonis</t>
  </si>
  <si>
    <t>021 422 3580</t>
  </si>
  <si>
    <t>charles@r-n.co.za</t>
  </si>
  <si>
    <t>Follow-up after 10+ months</t>
  </si>
  <si>
    <t>3 orders, 10+ months since contact</t>
  </si>
  <si>
    <t>REPEAT CLIENT - 3 orders totaling R47k. 10+ months since last contact, needs reactivation for continued business.</t>
  </si>
  <si>
    <t>Stabilid Cape Construction (Pty) Ltd</t>
  </si>
  <si>
    <t>Michael Lombard</t>
  </si>
  <si>
    <t>021 982 8210</t>
  </si>
  <si>
    <t>michael@stabilidcape.co.za</t>
  </si>
  <si>
    <t>MEDIUM - Industrial niche</t>
  </si>
  <si>
    <t>Industrial sector follow-up</t>
  </si>
  <si>
    <t>Industrial construction grade</t>
  </si>
  <si>
    <t>Industrial construction, 11+ months dormant</t>
  </si>
  <si>
    <t>REPEAT CLIENT - Industrial construction client, 2 orders totaling R21k. 11+ months dormant, industrial niche focus.</t>
  </si>
  <si>
    <t>Cape Estates Building Project (Pty) Ltd</t>
  </si>
  <si>
    <t>Flip Le Roux</t>
  </si>
  <si>
    <t>capeconstruction@capeestates.co.za</t>
  </si>
  <si>
    <t>LOW - Small order</t>
  </si>
  <si>
    <t>Reactivation, get phone number</t>
  </si>
  <si>
    <t>Missing phone, 16+ months dormant</t>
  </si>
  <si>
    <t>OPPORTUNITY - R8k order, missing phone number, 16+ months dormant. Low priority reactivation.</t>
  </si>
  <si>
    <t>Devmark Building (Pty) Ltd</t>
  </si>
  <si>
    <t>Shanaaz Fredericks</t>
  </si>
  <si>
    <t>021 948 3502</t>
  </si>
  <si>
    <t>sfredericks@devmark.co.za</t>
  </si>
  <si>
    <t>Small Single Order</t>
  </si>
  <si>
    <t>WATCH</t>
  </si>
  <si>
    <t>Low priority follow-up</t>
  </si>
  <si>
    <t>Small order, 16+ months dormant</t>
  </si>
  <si>
    <t>WATCH - Small R3k order, 16+ months dormant. Low priority for follow-up resources.</t>
  </si>
  <si>
    <t>Indawo Cape (Pty) Ltd</t>
  </si>
  <si>
    <t>Shaun Meintjies</t>
  </si>
  <si>
    <t>076 231 9092</t>
  </si>
  <si>
    <t>shaun@indawo.biz</t>
  </si>
  <si>
    <t>LOW - Very small order</t>
  </si>
  <si>
    <t>Monitor only</t>
  </si>
  <si>
    <t>Very small order, 13+ months dormant</t>
  </si>
  <si>
    <t>WATCH - Very small R2k order, 13+ months dormant. Monitor only, lowest priority.</t>
  </si>
  <si>
    <t>Plans 123 Pty Ltd</t>
  </si>
  <si>
    <t>Anneke Schriek</t>
  </si>
  <si>
    <t>082 470 0342</t>
  </si>
  <si>
    <t>anneke@schriek.co.za</t>
  </si>
  <si>
    <t>LOW - Test order</t>
  </si>
  <si>
    <t>Test/sample order, 14+ months dormant</t>
  </si>
  <si>
    <t>WATCH - Very small R288 test order, 14+ months dormant. Likely sample/test order only.</t>
  </si>
  <si>
    <t>Envirosails Pty Ltd TA Cape Shade CPT</t>
  </si>
  <si>
    <t>Shade Solutions</t>
  </si>
  <si>
    <t>Nicholas Adams</t>
  </si>
  <si>
    <t>073 213 8163</t>
  </si>
  <si>
    <t>engineering@capeshadecpt.co.za</t>
  </si>
  <si>
    <t>Competitive Client</t>
  </si>
  <si>
    <t>Unknown - competitor</t>
  </si>
  <si>
    <t>LOW - Potential competitor</t>
  </si>
  <si>
    <t>HIGH - Competitive threat</t>
  </si>
  <si>
    <t>Competitive intelligence monitoring</t>
  </si>
  <si>
    <t>Shade solutions grade</t>
  </si>
  <si>
    <t>Potential competitor in shade solutions</t>
  </si>
  <si>
    <t>COMPETITIVE - Potential competitor in shade solutions. Small order suggests market testing. Monitor for competitive intelligence.</t>
  </si>
  <si>
    <t>Martin &amp; East</t>
  </si>
  <si>
    <t>Cheryl Kampies</t>
  </si>
  <si>
    <t>021 761 3474</t>
  </si>
  <si>
    <t>buying@megroup.co.za</t>
  </si>
  <si>
    <t>3 Mercury Crescent, Hillstar, Wetton, 7780</t>
  </si>
  <si>
    <t>Size Categories &amp; Base Prices:</t>
  </si>
  <si>
    <t>Size Category</t>
  </si>
  <si>
    <t>Base Price (R)</t>
  </si>
  <si>
    <t>Large</t>
  </si>
  <si>
    <t>XLarge</t>
  </si>
  <si>
    <t>Ink Coverage Multipliers:</t>
  </si>
  <si>
    <t>Coverage Level</t>
  </si>
  <si>
    <t>Multiplier</t>
  </si>
  <si>
    <t>High</t>
  </si>
  <si>
    <t>Full</t>
  </si>
  <si>
    <t>Color Multipliers:</t>
  </si>
  <si>
    <t>Colors</t>
  </si>
  <si>
    <t>PRINTED SHADE INVOICE TEMPLATE</t>
  </si>
  <si>
    <t>USER INSTRUCTIONS</t>
  </si>
  <si>
    <t>Step 1: Enter Customer Details</t>
  </si>
  <si>
    <t>• Company name in B14</t>
  </si>
  <si>
    <t>• Contact person in B15</t>
  </si>
  <si>
    <t>• Full address in B16</t>
  </si>
  <si>
    <t>• VAT number in B17 (if applicable)</t>
  </si>
  <si>
    <t>• Email and phone in F14, F17</t>
  </si>
  <si>
    <t>Step 2: Configure Print Jobs</t>
  </si>
  <si>
    <t>• Job 1: Rows 19-29</t>
  </si>
  <si>
    <t>• Job 2: Rows 31-41</t>
  </si>
  <si>
    <t>• Job 3: Rows 43-53</t>
  </si>
  <si>
    <t>• Use dropdowns for Size, Coverage, Colors</t>
  </si>
  <si>
    <t>• Enter print dimensions and quantities</t>
  </si>
  <si>
    <t>• Prices calculate automatically</t>
  </si>
  <si>
    <t>Step 3: Add Shade Cloth (Optional)</t>
  </si>
  <si>
    <t>• Quantity in B57</t>
  </si>
  <si>
    <t>• Unit price in D57</t>
  </si>
  <si>
    <t>• Line total calculates automatically</t>
  </si>
  <si>
    <t>Step 4: Review Totals</t>
  </si>
  <si>
    <t>• Volume discounts apply automatically</t>
  </si>
  <si>
    <t>• VAT calculated at 15%</t>
  </si>
  <si>
    <t>• Check final amount in B74</t>
  </si>
  <si>
    <t>VOLUME DISCOUNT RATES</t>
  </si>
  <si>
    <t>5-9 prints:</t>
  </si>
  <si>
    <t>5% discount</t>
  </si>
  <si>
    <t>10-19 prints:</t>
  </si>
  <si>
    <t>10% discount</t>
  </si>
  <si>
    <t>20+ prints:</t>
  </si>
  <si>
    <t>15% discount</t>
  </si>
  <si>
    <t>FORMULA REFERENCE</t>
  </si>
  <si>
    <t>=VLOOKUP(Size,SizeTable,2,0)*VLOOKUP(Coverage,CoverageTable,2,0)*VLOOKUP(Colors,ColorTable,2,0)</t>
  </si>
  <si>
    <t>=Unit Price * Quantity</t>
  </si>
  <si>
    <t>Volume Discount:</t>
  </si>
  <si>
    <t>=IF(TotalQty&gt;=20,0.15,IF(TotalQty&gt;=10,0.1,IF(TotalQty&gt;=5,0.05,0)))</t>
  </si>
  <si>
    <t>VAT:</t>
  </si>
  <si>
    <t>=Subtotal * 0.15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</si>
</sst>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M/d/yyyy"/>
    <numFmt numFmtId="165" formatCode="[$R]#,##0.00"/>
    <numFmt numFmtId="166" formatCode="mmmm d, yyyy"/>
  </numFmts>
  <fonts count="8">
    <font>
      <sz val="12.0"/>
      <color theme="1"/>
      <name val="Calibri"/>
      <scheme val="minor"/>
    </font>
    <font>
      <b/>
      <color rgb="FF595959"/>
      <name val="'Arial'"/>
    </font>
    <font>
      <sz val="11.0"/>
      <color theme="1"/>
      <name val="Verdana"/>
    </font>
    <font/>
    <font>
      <color theme="1"/>
      <name val="Calibri"/>
      <scheme val="minor"/>
    </font>
    <font>
      <color theme="1"/>
      <name val="'ArialMT'"/>
    </font>
    <font>
      <u/>
      <color rgb="FF0000FF"/>
    </font>
    <font>
      <sz val="8.0"/>
      <color rgb="FF09202E"/>
      <name val="&quot;Calibri&quot;"/>
    </font>
  </fonts>
  <fills count="3">
    <fill>
      <patternFill patternType="none"/>
    </fill>
    <fill>
      <patternFill patternType="lightGray"/>
    </fill>
    <fill>
      <patternFill patternType="solid">
        <fgColor theme="8"/>
        <bgColor theme="8"/>
      </patternFill>
    </fill>
  </fills>
  <borders count="9">
    <border/>
    <border>
      <left style="medium">
        <color rgb="FF000000"/>
      </left>
      <top style="medium">
        <color rgb="FF000000"/>
      </top>
    </border>
    <border>
      <top style="medium">
        <color rgb="FF000000"/>
      </top>
    </border>
    <border>
      <right style="medium">
        <color rgb="FF000000"/>
      </right>
      <top style="medium">
        <color rgb="FF000000"/>
      </top>
    </border>
    <border>
      <left style="medium">
        <color rgb="FF000000"/>
      </left>
    </border>
    <border>
      <right style="medium">
        <color rgb="FF000000"/>
      </right>
    </border>
    <border>
      <left style="medium">
        <color rgb="FF000000"/>
      </left>
      <bottom style="medium">
        <color rgb="FF000000"/>
      </bottom>
    </border>
    <border>
      <bottom style="medium">
        <color rgb="FF000000"/>
      </bottom>
    </border>
    <border>
      <right style="medium">
        <color rgb="FF000000"/>
      </right>
      <bottom style="medium">
        <color rgb="FF000000"/>
      </bottom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2" numFmtId="0" xfId="0" applyBorder="1" applyFont="1"/>
    <xf borderId="2" fillId="0" fontId="2" numFmtId="0" xfId="0" applyBorder="1" applyFont="1"/>
    <xf borderId="2" fillId="0" fontId="2" numFmtId="0" xfId="0" applyAlignment="1" applyBorder="1" applyFont="1">
      <alignment horizontal="right"/>
    </xf>
    <xf borderId="3" fillId="0" fontId="3" numFmtId="0" xfId="0" applyBorder="1" applyFont="1"/>
    <xf borderId="4" fillId="0" fontId="2" numFmtId="0" xfId="0" applyBorder="1" applyFont="1"/>
    <xf borderId="0" fillId="0" fontId="2" numFmtId="0" xfId="0" applyAlignment="1" applyFont="1">
      <alignment readingOrder="0" shrinkToFit="0" wrapText="1"/>
    </xf>
    <xf borderId="0" fillId="0" fontId="2" numFmtId="0" xfId="0" applyFont="1"/>
    <xf borderId="5" fillId="0" fontId="2" numFmtId="0" xfId="0" applyAlignment="1" applyBorder="1" applyFont="1">
      <alignment horizontal="right"/>
    </xf>
    <xf borderId="5" fillId="0" fontId="2" numFmtId="164" xfId="0" applyBorder="1" applyFont="1" applyNumberFormat="1"/>
    <xf borderId="5" fillId="0" fontId="2" numFmtId="0" xfId="0" applyBorder="1" applyFont="1"/>
    <xf borderId="4" fillId="2" fontId="2" numFmtId="0" xfId="0" applyAlignment="1" applyBorder="1" applyFill="1" applyFont="1">
      <alignment horizontal="center" readingOrder="0"/>
    </xf>
    <xf borderId="5" fillId="0" fontId="3" numFmtId="0" xfId="0" applyBorder="1" applyFont="1"/>
    <xf borderId="0" fillId="0" fontId="2" numFmtId="0" xfId="0" applyAlignment="1" applyFont="1">
      <alignment readingOrder="0"/>
    </xf>
    <xf borderId="0" fillId="0" fontId="4" numFmtId="0" xfId="0" applyAlignment="1" applyFont="1">
      <alignment horizontal="center"/>
    </xf>
    <xf borderId="4" fillId="0" fontId="2" numFmtId="0" xfId="0" applyAlignment="1" applyBorder="1" applyFont="1">
      <alignment readingOrder="0"/>
    </xf>
    <xf borderId="0" fillId="0" fontId="2" numFmtId="0" xfId="0" applyAlignment="1" applyFont="1">
      <alignment horizontal="center" readingOrder="0"/>
    </xf>
    <xf borderId="5" fillId="0" fontId="2" numFmtId="165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right" readingOrder="0"/>
    </xf>
    <xf borderId="5" fillId="0" fontId="2" numFmtId="165" xfId="0" applyBorder="1" applyFont="1" applyNumberFormat="1"/>
    <xf borderId="4" fillId="0" fontId="2" numFmtId="0" xfId="0" applyAlignment="1" applyBorder="1" applyFont="1">
      <alignment horizontal="left" readingOrder="0" vertical="top"/>
    </xf>
    <xf borderId="0" fillId="0" fontId="2" numFmtId="0" xfId="0" applyAlignment="1" applyFont="1">
      <alignment shrinkToFit="0" wrapText="1"/>
    </xf>
    <xf borderId="4" fillId="0" fontId="4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4" fillId="2" fontId="2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 vertical="top"/>
    </xf>
    <xf borderId="4" fillId="2" fontId="4" numFmtId="0" xfId="0" applyBorder="1" applyFont="1"/>
    <xf borderId="4" fillId="0" fontId="4" numFmtId="0" xfId="0" applyBorder="1" applyFont="1"/>
    <xf borderId="5" fillId="0" fontId="4" numFmtId="0" xfId="0" applyBorder="1" applyFont="1"/>
    <xf borderId="0" fillId="0" fontId="2" numFmtId="14" xfId="0" applyFont="1" applyNumberFormat="1"/>
    <xf borderId="5" fillId="0" fontId="2" numFmtId="10" xfId="0" applyBorder="1" applyFont="1" applyNumberFormat="1"/>
    <xf borderId="5" fillId="2" fontId="2" numFmtId="165" xfId="0" applyBorder="1" applyFont="1" applyNumberFormat="1"/>
    <xf borderId="6" fillId="0" fontId="4" numFmtId="0" xfId="0" applyBorder="1" applyFont="1"/>
    <xf borderId="7" fillId="0" fontId="4" numFmtId="0" xfId="0" applyBorder="1" applyFont="1"/>
    <xf borderId="7" fillId="0" fontId="2" numFmtId="0" xfId="0" applyBorder="1" applyFont="1"/>
    <xf borderId="8" fillId="0" fontId="2" numFmtId="0" xfId="0" applyBorder="1" applyFont="1"/>
    <xf borderId="0" fillId="0" fontId="5" numFmtId="0" xfId="0" applyAlignment="1" applyFont="1">
      <alignment horizontal="center" readingOrder="0"/>
    </xf>
    <xf borderId="0" fillId="0" fontId="4" numFmtId="166" xfId="0" applyAlignment="1" applyFont="1" applyNumberFormat="1">
      <alignment readingOrder="0"/>
    </xf>
    <xf borderId="0" fillId="0" fontId="6" numFmtId="0" xfId="0" applyAlignment="1" applyFont="1">
      <alignment readingOrder="0"/>
    </xf>
    <xf borderId="0" fillId="0" fontId="7" numFmtId="0" xfId="0" applyAlignment="1" applyFont="1">
      <alignment readingOrder="0"/>
    </xf>
    <xf borderId="0" fillId="0" fontId="4" numFmtId="0" xfId="0" applyAlignment="1" applyFont="1">
      <alignment readingOrder="0" shrinkToFit="0" wrapText="0"/>
    </xf>
    <xf borderId="0" fillId="0" fontId="4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</xdr:col>
      <xdr:colOff>714375</xdr:colOff>
      <xdr:row>0</xdr:row>
      <xdr:rowOff>0</xdr:rowOff>
    </xdr:from>
    <xdr:ext cx="4924425" cy="1323975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masego.mogashane.co.za" TargetMode="External"/><Relationship Id="rId2" Type="http://schemas.openxmlformats.org/officeDocument/2006/relationships/hyperlink" Target="http://www.gc-group.co.za" TargetMode="External"/><Relationship Id="rId3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1.22" defaultRowHeight="15.0"/>
  <cols>
    <col customWidth="1" min="1" max="1" width="25.22"/>
    <col customWidth="1" min="2" max="2" width="34.44"/>
    <col customWidth="1" min="3" max="3" width="12.56"/>
    <col customWidth="1" min="4" max="4" width="27.56"/>
    <col customWidth="1" min="5" max="5" width="24.22"/>
    <col customWidth="1" min="6" max="6" width="18.78"/>
  </cols>
  <sheetData>
    <row r="1" ht="15.0" customHeight="1"/>
    <row r="8">
      <c r="A8" s="1" t="s">
        <v>0</v>
      </c>
    </row>
    <row r="9">
      <c r="A9" s="1"/>
      <c r="B9" s="1"/>
      <c r="C9" s="1"/>
      <c r="D9" s="1"/>
      <c r="E9" s="1"/>
    </row>
    <row r="10">
      <c r="A10" s="2" t="s">
        <v>1</v>
      </c>
      <c r="B10" s="3" t="s">
        <v>2</v>
      </c>
      <c r="C10" s="3"/>
      <c r="D10" s="4" t="s">
        <v>3</v>
      </c>
      <c r="E10" s="5"/>
    </row>
    <row r="11">
      <c r="A11" s="6" t="s">
        <v>4</v>
      </c>
      <c r="B11" s="7" t="s">
        <v>5</v>
      </c>
      <c r="C11" s="8"/>
      <c r="D11" s="8" t="s">
        <v>6</v>
      </c>
      <c r="E11" s="9" t="s">
        <v>7</v>
      </c>
    </row>
    <row r="12">
      <c r="A12" s="6" t="s">
        <v>8</v>
      </c>
      <c r="B12" s="8" t="s">
        <v>9</v>
      </c>
      <c r="C12" s="8"/>
      <c r="D12" s="8" t="s">
        <v>10</v>
      </c>
      <c r="E12" s="10">
        <v>45903.42542966435</v>
      </c>
    </row>
    <row r="13">
      <c r="A13" s="6" t="s">
        <v>11</v>
      </c>
      <c r="B13" s="8" t="s">
        <v>12</v>
      </c>
      <c r="C13" s="8"/>
      <c r="D13" s="8" t="s">
        <v>13</v>
      </c>
      <c r="E13" s="10">
        <v>45933.42542966435</v>
      </c>
    </row>
    <row r="14">
      <c r="A14" s="6"/>
      <c r="B14" s="8"/>
      <c r="C14" s="8"/>
      <c r="D14" s="8"/>
      <c r="E14" s="11"/>
    </row>
    <row r="15">
      <c r="A15" s="12" t="s">
        <v>14</v>
      </c>
      <c r="E15" s="13"/>
    </row>
    <row r="16">
      <c r="A16" s="6" t="s">
        <v>15</v>
      </c>
      <c r="B16" s="8"/>
      <c r="C16" s="8"/>
      <c r="D16" s="8" t="s">
        <v>16</v>
      </c>
      <c r="E16" s="11"/>
    </row>
    <row r="17">
      <c r="A17" s="6"/>
      <c r="B17" s="8"/>
      <c r="C17" s="8"/>
      <c r="D17" s="8"/>
      <c r="E17" s="11"/>
    </row>
    <row r="18">
      <c r="A18" s="6" t="s">
        <v>17</v>
      </c>
      <c r="B18" s="14" t="s">
        <v>18</v>
      </c>
      <c r="C18" s="8"/>
      <c r="D18" s="8" t="s">
        <v>1</v>
      </c>
      <c r="E18" s="11" t="str">
        <f t="array" ref="E18">IF(B18="","[Customer Email]",IFERROR(INDEX('Customer Database'!E:E,MATCH(B18,'Customer Database'!A:A,0)),"[Customer Email]"))</f>
        <v>lyndall@isipani.co.za</v>
      </c>
    </row>
    <row r="19">
      <c r="A19" s="6" t="s">
        <v>19</v>
      </c>
      <c r="B19" s="14" t="str">
        <f t="array" ref="B19">IF(B18="","Yolande Hunter",IFERROR(INDEX('Customer Database'!C:C,MATCH(B18,'Customer Database'!A:A,0)),"Yolande Hunter"))</f>
        <v>Lyndall Sheldon</v>
      </c>
      <c r="C19" s="8"/>
      <c r="D19" s="8" t="s">
        <v>11</v>
      </c>
      <c r="E19" s="11" t="str">
        <f t="array" ref="E19">IF(B18="","[Contact Number]",IFERROR(INDEX('Customer Database'!D:D,MATCH(B18,'Customer Database'!A:A,0)),"[Contact Number]"))</f>
        <v>021 868 3008</v>
      </c>
    </row>
    <row r="20">
      <c r="A20" s="6" t="s">
        <v>4</v>
      </c>
      <c r="B20" s="14" t="str">
        <f t="array" ref="B20">IF(B18="","Woodstock",IFERROR(INDEX('Customer Database'!F:F,MATCH(B18,'Customer Database'!A:A,0)),"Woodstock"))</f>
        <v/>
      </c>
      <c r="C20" s="8"/>
      <c r="D20" s="8" t="s">
        <v>20</v>
      </c>
      <c r="E20" s="11" t="s">
        <v>21</v>
      </c>
    </row>
    <row r="21">
      <c r="A21" s="6" t="s">
        <v>22</v>
      </c>
      <c r="B21" s="8">
        <f t="array" ref="B21">IF(B18="","[Customer VAT]",IFERROR(INDEX('Customer Database'!G:G,MATCH(B18,'Customer Database'!A:A,0)),"[Customer VAT]"))</f>
        <v>0</v>
      </c>
      <c r="C21" s="8"/>
      <c r="D21" s="8"/>
      <c r="E21" s="11"/>
      <c r="H21" s="15"/>
    </row>
    <row r="22">
      <c r="A22" s="6"/>
      <c r="B22" s="8"/>
      <c r="C22" s="8"/>
      <c r="D22" s="8"/>
      <c r="E22" s="11"/>
    </row>
    <row r="23">
      <c r="A23" s="12" t="s">
        <v>23</v>
      </c>
      <c r="E23" s="13"/>
    </row>
    <row r="24">
      <c r="A24" s="16" t="s">
        <v>24</v>
      </c>
      <c r="B24" s="14"/>
      <c r="C24" s="8"/>
      <c r="D24" s="8"/>
      <c r="E24" s="11"/>
    </row>
    <row r="25" ht="15.75" customHeight="1">
      <c r="A25" s="6"/>
      <c r="B25" s="8"/>
      <c r="C25" s="8"/>
      <c r="D25" s="8"/>
      <c r="E25" s="11"/>
    </row>
    <row r="26" ht="15.75" customHeight="1">
      <c r="A26" s="6" t="s">
        <v>25</v>
      </c>
      <c r="B26" s="17" t="s">
        <v>26</v>
      </c>
      <c r="C26" s="8"/>
      <c r="D26" s="8" t="s">
        <v>27</v>
      </c>
      <c r="E26" s="18">
        <f>VLOOKUP(B26,SizeTable,2,FALSE)*VLOOKUP(B28,CoverageTable,2,FALSE)*VLOOKUP(B30,ColorTable,2,FALSE)</f>
        <v>540</v>
      </c>
    </row>
    <row r="27" ht="15.75" customHeight="1">
      <c r="A27" s="6"/>
      <c r="B27" s="8"/>
      <c r="C27" s="8"/>
      <c r="D27" s="8"/>
      <c r="E27" s="11"/>
    </row>
    <row r="28" ht="15.75" customHeight="1">
      <c r="A28" s="6" t="s">
        <v>28</v>
      </c>
      <c r="B28" s="17" t="s">
        <v>26</v>
      </c>
      <c r="C28" s="8"/>
      <c r="D28" s="8" t="s">
        <v>29</v>
      </c>
      <c r="E28" s="19">
        <v>2.0</v>
      </c>
    </row>
    <row r="29" ht="15.75" customHeight="1">
      <c r="A29" s="6"/>
      <c r="B29" s="8"/>
      <c r="C29" s="8"/>
      <c r="D29" s="14" t="s">
        <v>30</v>
      </c>
      <c r="E29" s="20">
        <v>1.06</v>
      </c>
    </row>
    <row r="30" ht="15.75" customHeight="1">
      <c r="A30" s="6" t="s">
        <v>31</v>
      </c>
      <c r="B30" s="17">
        <v>1.0</v>
      </c>
      <c r="C30" s="8"/>
      <c r="D30" s="14" t="s">
        <v>32</v>
      </c>
      <c r="E30" s="19">
        <v>10.0</v>
      </c>
    </row>
    <row r="31" ht="15.75" customHeight="1">
      <c r="A31" s="6"/>
      <c r="B31" s="8"/>
      <c r="C31" s="8"/>
      <c r="D31" s="14" t="s">
        <v>33</v>
      </c>
      <c r="E31" s="19">
        <v>10.0</v>
      </c>
    </row>
    <row r="32" ht="15.75" customHeight="1">
      <c r="A32" s="6"/>
      <c r="B32" s="8"/>
      <c r="C32" s="8"/>
      <c r="D32" s="14"/>
      <c r="E32" s="19"/>
    </row>
    <row r="33" ht="15.75" customHeight="1">
      <c r="A33" s="6"/>
      <c r="B33" s="8"/>
      <c r="D33" s="8" t="s">
        <v>34</v>
      </c>
      <c r="E33" s="21">
        <f>E26*E30</f>
        <v>5400</v>
      </c>
    </row>
    <row r="34" ht="15.75" customHeight="1">
      <c r="A34" s="6"/>
      <c r="B34" s="8"/>
      <c r="C34" s="8"/>
      <c r="D34" s="8"/>
      <c r="E34" s="11"/>
    </row>
    <row r="35" ht="15.75" customHeight="1">
      <c r="A35" s="22" t="s">
        <v>35</v>
      </c>
      <c r="B35" s="23" t="str">
        <f>IF(AND(E28&gt;0,E29&gt;0,E30&gt;0,E31&gt;0)," "&amp;E31&amp;" prints per roll × "&amp;E28&amp;"m × "&amp;E29&amp;"m each, "&amp;ROUND((50-(E28*E31))/(E31+1),2)&amp;"m gaps ("&amp;ROUND(E30/E31,0)&amp;" rolls needed)"&amp;IF(B54&gt;E29,", Margins: "&amp;ROUND((B54-E29)*100/2,0)&amp;"cm top/bottom",""),"Enter all dimensions")</f>
        <v> 10 prints per roll × 2m × 1.06m each, 2.73m gaps (1 rolls needed), Margins: 37cm top/bottom</v>
      </c>
      <c r="E35" s="13"/>
    </row>
    <row r="36" ht="15.75" customHeight="1">
      <c r="A36" s="24" t="s">
        <v>36</v>
      </c>
      <c r="B36" s="25">
        <v>950.0</v>
      </c>
      <c r="C36" s="8"/>
      <c r="D36" s="8"/>
      <c r="E36" s="11"/>
    </row>
    <row r="37" ht="16.5" hidden="1" customHeight="1">
      <c r="A37" s="26" t="s">
        <v>37</v>
      </c>
      <c r="E37" s="13"/>
    </row>
    <row r="38" ht="15.75" hidden="1" customHeight="1">
      <c r="A38" s="16" t="s">
        <v>24</v>
      </c>
      <c r="B38" s="8"/>
      <c r="C38" s="8"/>
      <c r="D38" s="8"/>
      <c r="E38" s="11"/>
    </row>
    <row r="39" ht="15.75" hidden="1" customHeight="1">
      <c r="A39" s="6"/>
      <c r="B39" s="8"/>
      <c r="C39" s="8"/>
      <c r="D39" s="8"/>
      <c r="E39" s="11"/>
    </row>
    <row r="40" ht="15.75" hidden="1" customHeight="1">
      <c r="A40" s="16" t="s">
        <v>25</v>
      </c>
      <c r="B40" s="17" t="s">
        <v>38</v>
      </c>
      <c r="C40" s="8"/>
      <c r="D40" s="14" t="s">
        <v>27</v>
      </c>
      <c r="E40" s="18">
        <v>0.0</v>
      </c>
    </row>
    <row r="41" ht="15.75" hidden="1" customHeight="1">
      <c r="A41" s="6"/>
      <c r="B41" s="8"/>
      <c r="C41" s="8"/>
      <c r="D41" s="8"/>
      <c r="E41" s="11"/>
    </row>
    <row r="42" ht="15.75" hidden="1" customHeight="1">
      <c r="A42" s="16" t="s">
        <v>28</v>
      </c>
      <c r="B42" s="17" t="s">
        <v>26</v>
      </c>
      <c r="C42" s="8"/>
      <c r="D42" s="14" t="s">
        <v>39</v>
      </c>
      <c r="E42" s="19">
        <v>2.0</v>
      </c>
    </row>
    <row r="43" ht="15.75" hidden="1" customHeight="1">
      <c r="A43" s="6"/>
      <c r="B43" s="8"/>
      <c r="C43" s="8"/>
      <c r="D43" s="14" t="s">
        <v>40</v>
      </c>
      <c r="E43" s="19">
        <v>1.0</v>
      </c>
    </row>
    <row r="44" ht="15.75" hidden="1" customHeight="1">
      <c r="A44" s="16" t="s">
        <v>41</v>
      </c>
      <c r="B44" s="17">
        <v>2.0</v>
      </c>
      <c r="C44" s="8"/>
      <c r="D44" s="14" t="s">
        <v>32</v>
      </c>
      <c r="E44" s="19">
        <v>0.0</v>
      </c>
    </row>
    <row r="45" ht="15.75" hidden="1" customHeight="1">
      <c r="A45" s="6"/>
      <c r="B45" s="8"/>
      <c r="C45" s="8"/>
      <c r="D45" s="14" t="s">
        <v>33</v>
      </c>
      <c r="E45" s="19">
        <v>10.0</v>
      </c>
    </row>
    <row r="46" ht="15.75" hidden="1" customHeight="1">
      <c r="A46" s="6"/>
      <c r="B46" s="8"/>
      <c r="C46" s="8"/>
      <c r="D46" s="8"/>
      <c r="E46" s="11"/>
    </row>
    <row r="47" ht="15.75" hidden="1" customHeight="1">
      <c r="A47" s="6"/>
      <c r="B47" s="8"/>
      <c r="D47" s="14" t="s">
        <v>34</v>
      </c>
      <c r="E47" s="19">
        <v>0.0</v>
      </c>
    </row>
    <row r="48" ht="15.75" hidden="1" customHeight="1">
      <c r="A48" s="6"/>
      <c r="B48" s="8"/>
      <c r="C48" s="14"/>
      <c r="D48" s="8"/>
      <c r="E48" s="11"/>
    </row>
    <row r="49" ht="15.75" hidden="1" customHeight="1">
      <c r="A49" s="27" t="s">
        <v>35</v>
      </c>
      <c r="B49" s="23" t="str">
        <f>IF(AND(E42&gt;0,E43&gt;0,E44&gt;0,E45&gt;0)," "&amp;E45&amp;" prints per roll × "&amp;E42&amp;"m × "&amp;E43&amp;"m each, "&amp;ROUND((50-(E42*E45))/(E45+1),2)&amp;"m gaps ("&amp;ROUND(E44/E45,0)&amp;" rolls needed)"&amp;IF(B54&gt;E43,", Margins: "&amp;ROUND((B54-E43)*100/2,0)&amp;"cm top/bottom",""),"Enter all dimensions")</f>
        <v>Enter all dimensions</v>
      </c>
      <c r="E49" s="13"/>
    </row>
    <row r="50" ht="15.75" hidden="1" customHeight="1">
      <c r="A50" s="24" t="s">
        <v>36</v>
      </c>
      <c r="B50" s="25">
        <v>0.0</v>
      </c>
      <c r="C50" s="8"/>
      <c r="D50" s="8"/>
      <c r="E50" s="11"/>
    </row>
    <row r="51" ht="15.75" customHeight="1">
      <c r="A51" s="12" t="s">
        <v>42</v>
      </c>
      <c r="E51" s="13"/>
    </row>
    <row r="52" ht="15.75" customHeight="1">
      <c r="A52" s="6" t="s">
        <v>43</v>
      </c>
      <c r="B52" s="14" t="s">
        <v>44</v>
      </c>
      <c r="C52" s="8"/>
      <c r="D52" s="8"/>
      <c r="E52" s="11"/>
    </row>
    <row r="53" ht="15.75" customHeight="1">
      <c r="A53" s="6" t="s">
        <v>45</v>
      </c>
      <c r="B53" s="14">
        <v>1.0</v>
      </c>
      <c r="C53" s="8"/>
      <c r="D53" s="8" t="s">
        <v>27</v>
      </c>
      <c r="E53" s="21">
        <v>2750.0</v>
      </c>
    </row>
    <row r="54" ht="15.75" customHeight="1">
      <c r="A54" s="16" t="s">
        <v>46</v>
      </c>
      <c r="B54" s="14">
        <v>1.8</v>
      </c>
      <c r="C54" s="8"/>
      <c r="D54" s="8" t="s">
        <v>34</v>
      </c>
      <c r="E54" s="21">
        <f>E53*B53</f>
        <v>2750</v>
      </c>
    </row>
    <row r="55" ht="15.75" customHeight="1">
      <c r="A55" s="6"/>
      <c r="B55" s="8"/>
      <c r="C55" s="8"/>
      <c r="D55" s="8"/>
      <c r="E55" s="11"/>
    </row>
    <row r="56" ht="15.75" customHeight="1">
      <c r="A56" s="28"/>
      <c r="E56" s="13"/>
    </row>
    <row r="57" ht="15.75" customHeight="1">
      <c r="A57" s="29"/>
      <c r="C57" s="8"/>
      <c r="D57" s="8"/>
      <c r="E57" s="11"/>
    </row>
    <row r="58" ht="15.75" customHeight="1">
      <c r="A58" s="8" t="s">
        <v>47</v>
      </c>
      <c r="B58" s="11">
        <f>E30+E44</f>
        <v>10</v>
      </c>
      <c r="C58" s="8"/>
      <c r="D58" s="8"/>
      <c r="E58" s="11"/>
    </row>
    <row r="59" ht="15.75" customHeight="1">
      <c r="A59" s="8" t="s">
        <v>48</v>
      </c>
      <c r="B59" s="21">
        <f>(E33+E47)*E68</f>
        <v>0</v>
      </c>
      <c r="C59" s="8"/>
      <c r="D59" s="8"/>
      <c r="E59" s="11"/>
    </row>
    <row r="60" ht="15.75" customHeight="1">
      <c r="A60" s="29"/>
      <c r="C60" s="8"/>
      <c r="D60" s="8"/>
      <c r="E60" s="11"/>
    </row>
    <row r="61" ht="15.75" customHeight="1">
      <c r="A61" s="6"/>
      <c r="B61" s="8"/>
      <c r="C61" s="8"/>
    </row>
    <row r="62" ht="15.75" customHeight="1">
      <c r="A62" s="16"/>
      <c r="B62" s="8"/>
      <c r="C62" s="8"/>
      <c r="E62" s="30"/>
    </row>
    <row r="63" ht="15.75" customHeight="1">
      <c r="A63" s="6"/>
      <c r="B63" s="8"/>
      <c r="C63" s="8"/>
    </row>
    <row r="64" ht="15.75" customHeight="1">
      <c r="A64" s="6"/>
      <c r="B64" s="8"/>
      <c r="C64" s="8"/>
      <c r="E64" s="30"/>
    </row>
    <row r="65" ht="15.75" customHeight="1">
      <c r="A65" s="6"/>
      <c r="B65" s="31"/>
      <c r="C65" s="8"/>
      <c r="E65" s="30"/>
    </row>
    <row r="66" ht="15.75" customHeight="1">
      <c r="A66" s="6" t="s">
        <v>49</v>
      </c>
      <c r="B66" s="8"/>
      <c r="C66" s="8"/>
      <c r="E66" s="30"/>
    </row>
    <row r="67" ht="15.75" customHeight="1">
      <c r="A67" s="6" t="s">
        <v>50</v>
      </c>
      <c r="B67" s="8" t="s">
        <v>51</v>
      </c>
      <c r="C67" s="8"/>
      <c r="D67" s="8" t="s">
        <v>52</v>
      </c>
      <c r="E67" s="21">
        <f>E33+E47</f>
        <v>5400</v>
      </c>
    </row>
    <row r="68" ht="15.75" customHeight="1">
      <c r="A68" s="6" t="s">
        <v>53</v>
      </c>
      <c r="B68" s="8" t="s">
        <v>54</v>
      </c>
      <c r="C68" s="8"/>
      <c r="D68" s="8" t="s">
        <v>55</v>
      </c>
      <c r="E68" s="32">
        <f>IF(B58&gt;=200,0.15,IF(B58&gt;=100,0.1,IF(B58&gt;=50,0.05,IF(B58&gt;=25,0.025,0))))</f>
        <v>0</v>
      </c>
    </row>
    <row r="69" ht="15.75" customHeight="1">
      <c r="A69" s="6" t="s">
        <v>56</v>
      </c>
      <c r="B69" s="8" t="s">
        <v>57</v>
      </c>
      <c r="C69" s="8"/>
      <c r="D69" s="8" t="s">
        <v>58</v>
      </c>
      <c r="E69" s="21">
        <f>-B59</f>
        <v>0</v>
      </c>
    </row>
    <row r="70" ht="15.75" customHeight="1">
      <c r="A70" s="29"/>
      <c r="C70" s="8"/>
      <c r="D70" s="8" t="s">
        <v>59</v>
      </c>
      <c r="E70" s="21">
        <f>E54</f>
        <v>2750</v>
      </c>
    </row>
    <row r="71" ht="15.75" customHeight="1">
      <c r="A71" s="6" t="s">
        <v>60</v>
      </c>
      <c r="C71" s="8"/>
      <c r="D71" s="8" t="s">
        <v>61</v>
      </c>
      <c r="E71" s="21">
        <f>E67+E69+E70</f>
        <v>8150</v>
      </c>
    </row>
    <row r="72" ht="15.75" customHeight="1">
      <c r="A72" s="6" t="s">
        <v>62</v>
      </c>
      <c r="C72" s="8"/>
      <c r="D72" s="8" t="s">
        <v>63</v>
      </c>
      <c r="E72" s="21">
        <f>E71*0.15</f>
        <v>1222.5</v>
      </c>
    </row>
    <row r="73" ht="15.75" customHeight="1">
      <c r="A73" s="6" t="s">
        <v>64</v>
      </c>
      <c r="C73" s="8"/>
      <c r="D73" s="8"/>
      <c r="E73" s="11"/>
    </row>
    <row r="74" ht="15.75" customHeight="1">
      <c r="A74" s="6" t="s">
        <v>65</v>
      </c>
      <c r="C74" s="8"/>
      <c r="D74" s="8" t="s">
        <v>66</v>
      </c>
      <c r="E74" s="33">
        <f>E71+E72</f>
        <v>9372.5</v>
      </c>
    </row>
    <row r="75" ht="15.75" customHeight="1">
      <c r="A75" s="29"/>
      <c r="C75" s="8"/>
      <c r="D75" s="14" t="s">
        <v>67</v>
      </c>
      <c r="E75" s="21">
        <f>E74*0.5</f>
        <v>4686.25</v>
      </c>
    </row>
    <row r="76" ht="15.75" customHeight="1">
      <c r="A76" s="29"/>
      <c r="C76" s="8"/>
      <c r="D76" s="14" t="s">
        <v>68</v>
      </c>
      <c r="E76" s="21">
        <f>E74*0.5</f>
        <v>4686.25</v>
      </c>
    </row>
    <row r="77" ht="15.75" customHeight="1">
      <c r="A77" s="34"/>
      <c r="B77" s="35"/>
      <c r="C77" s="36"/>
      <c r="D77" s="36"/>
      <c r="E77" s="37"/>
    </row>
    <row r="78" ht="15.75" customHeight="1">
      <c r="A78" s="38" t="s">
        <v>69</v>
      </c>
    </row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</sheetData>
  <mergeCells count="14">
    <mergeCell ref="A51:E51"/>
    <mergeCell ref="A56:E56"/>
    <mergeCell ref="A71:B71"/>
    <mergeCell ref="A72:B72"/>
    <mergeCell ref="A73:B73"/>
    <mergeCell ref="A74:B74"/>
    <mergeCell ref="A78:E78"/>
    <mergeCell ref="A8:E8"/>
    <mergeCell ref="D10:E10"/>
    <mergeCell ref="A15:E15"/>
    <mergeCell ref="A23:E23"/>
    <mergeCell ref="B35:E35"/>
    <mergeCell ref="A37:E37"/>
    <mergeCell ref="B49:E49"/>
  </mergeCells>
  <dataValidations>
    <dataValidation type="list" allowBlank="1" showErrorMessage="1" sqref="B18">
      <formula1>'Customer Database'!$A$2:$A$50</formula1>
    </dataValidation>
    <dataValidation type="list" allowBlank="1" showErrorMessage="1" sqref="B44">
      <formula1>"1,3,2,4,5"</formula1>
    </dataValidation>
    <dataValidation type="list" allowBlank="1" showErrorMessage="1" sqref="B28 B42">
      <formula1>"Low,Medium,High,Full"</formula1>
    </dataValidation>
    <dataValidation type="list" allowBlank="1" showErrorMessage="1" sqref="B26 B40">
      <formula1>"Small,Medium,Large,XLarge"</formula1>
    </dataValidation>
    <dataValidation type="list" allowBlank="1" showErrorMessage="1" sqref="B30">
      <formula1>"1,2,3,4,5"</formula1>
    </dataValidation>
  </dataValidations>
  <printOptions horizontalCentered="1"/>
  <pageMargins bottom="0.75" footer="0.0" header="0.0" left="0.25" right="0.25" top="0.75"/>
  <pageSetup paperSize="9" cellComments="atEnd" orientation="portrait" pageOrder="overThenDown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2" max="2" width="17.33"/>
  </cols>
  <sheetData>
    <row r="1">
      <c r="A1" s="25" t="s">
        <v>70</v>
      </c>
      <c r="B1" s="25" t="s">
        <v>71</v>
      </c>
      <c r="C1" s="25" t="s">
        <v>72</v>
      </c>
      <c r="D1" s="25" t="s">
        <v>73</v>
      </c>
      <c r="E1" s="25" t="s">
        <v>74</v>
      </c>
      <c r="F1" s="25" t="s">
        <v>75</v>
      </c>
      <c r="G1" s="25" t="s">
        <v>76</v>
      </c>
      <c r="H1" s="25" t="s">
        <v>77</v>
      </c>
      <c r="I1" s="25" t="s">
        <v>78</v>
      </c>
      <c r="J1" s="25" t="s">
        <v>79</v>
      </c>
      <c r="K1" s="25" t="s">
        <v>80</v>
      </c>
      <c r="L1" s="25" t="s">
        <v>81</v>
      </c>
      <c r="M1" s="25" t="s">
        <v>82</v>
      </c>
      <c r="N1" s="25" t="s">
        <v>83</v>
      </c>
      <c r="O1" s="25" t="s">
        <v>84</v>
      </c>
      <c r="P1" s="25" t="s">
        <v>85</v>
      </c>
      <c r="Q1" s="25" t="s">
        <v>86</v>
      </c>
      <c r="R1" s="25" t="s">
        <v>87</v>
      </c>
      <c r="S1" s="25" t="s">
        <v>88</v>
      </c>
      <c r="T1" s="25" t="s">
        <v>89</v>
      </c>
      <c r="U1" s="25" t="s">
        <v>90</v>
      </c>
      <c r="V1" s="25" t="s">
        <v>91</v>
      </c>
      <c r="W1" s="25" t="s">
        <v>92</v>
      </c>
      <c r="X1" s="25" t="s">
        <v>93</v>
      </c>
      <c r="Y1" s="25" t="s">
        <v>94</v>
      </c>
      <c r="Z1" s="25" t="s">
        <v>95</v>
      </c>
      <c r="AA1" s="25" t="s">
        <v>96</v>
      </c>
      <c r="AB1" s="25" t="s">
        <v>97</v>
      </c>
      <c r="AC1" s="25" t="s">
        <v>98</v>
      </c>
      <c r="AD1" s="25" t="s">
        <v>99</v>
      </c>
      <c r="AE1" s="25" t="s">
        <v>100</v>
      </c>
      <c r="AF1" s="25" t="s">
        <v>101</v>
      </c>
    </row>
    <row r="2">
      <c r="A2" s="25" t="s">
        <v>102</v>
      </c>
      <c r="B2" s="25" t="s">
        <v>103</v>
      </c>
      <c r="C2" s="25" t="s">
        <v>104</v>
      </c>
      <c r="D2" s="25" t="s">
        <v>105</v>
      </c>
      <c r="E2" s="25" t="s">
        <v>106</v>
      </c>
      <c r="F2" s="25" t="s">
        <v>107</v>
      </c>
      <c r="G2" s="25">
        <v>4.520219694E9</v>
      </c>
      <c r="H2" s="25">
        <v>216114.0</v>
      </c>
      <c r="I2" s="25">
        <v>29325.0</v>
      </c>
      <c r="J2" s="25">
        <v>24013.0</v>
      </c>
      <c r="K2" s="25" t="s">
        <v>108</v>
      </c>
      <c r="L2" s="25">
        <v>0.0</v>
      </c>
      <c r="M2" s="25">
        <v>0.0</v>
      </c>
      <c r="N2" s="25" t="s">
        <v>109</v>
      </c>
      <c r="O2" s="39">
        <v>45408.0</v>
      </c>
      <c r="P2" s="39">
        <v>45743.0</v>
      </c>
      <c r="Q2" s="25">
        <v>9.0</v>
      </c>
      <c r="R2" s="25">
        <v>91.0</v>
      </c>
      <c r="S2" s="25" t="s">
        <v>110</v>
      </c>
      <c r="T2" s="25" t="s">
        <v>111</v>
      </c>
      <c r="U2" s="25">
        <v>300000.0</v>
      </c>
      <c r="V2" s="25" t="s">
        <v>112</v>
      </c>
      <c r="W2" s="25" t="s">
        <v>113</v>
      </c>
      <c r="X2" s="25" t="s">
        <v>114</v>
      </c>
      <c r="Y2" s="25" t="s">
        <v>115</v>
      </c>
      <c r="Z2" s="25" t="s">
        <v>116</v>
      </c>
      <c r="AA2" s="25" t="s">
        <v>117</v>
      </c>
      <c r="AB2" s="25" t="s">
        <v>118</v>
      </c>
      <c r="AC2" s="25" t="s">
        <v>119</v>
      </c>
      <c r="AD2" s="25" t="s">
        <v>120</v>
      </c>
      <c r="AE2" s="25" t="s">
        <v>121</v>
      </c>
      <c r="AF2" s="25" t="s">
        <v>122</v>
      </c>
    </row>
    <row r="3">
      <c r="A3" s="25" t="s">
        <v>18</v>
      </c>
      <c r="B3" s="25" t="s">
        <v>103</v>
      </c>
      <c r="C3" s="25" t="s">
        <v>123</v>
      </c>
      <c r="D3" s="25" t="s">
        <v>124</v>
      </c>
      <c r="E3" s="25" t="s">
        <v>125</v>
      </c>
      <c r="G3" s="25">
        <v>0.0</v>
      </c>
      <c r="H3" s="25">
        <v>125368.0</v>
      </c>
      <c r="I3" s="25">
        <v>49588.0</v>
      </c>
      <c r="J3" s="25">
        <v>25074.0</v>
      </c>
      <c r="K3" s="25" t="s">
        <v>108</v>
      </c>
      <c r="L3" s="25">
        <v>0.0</v>
      </c>
      <c r="M3" s="25">
        <v>0.0</v>
      </c>
      <c r="N3" s="25" t="s">
        <v>109</v>
      </c>
      <c r="O3" s="39">
        <v>45337.0</v>
      </c>
      <c r="P3" s="39">
        <v>45630.0</v>
      </c>
      <c r="Q3" s="25">
        <v>5.0</v>
      </c>
      <c r="R3" s="25">
        <v>204.0</v>
      </c>
      <c r="S3" s="25" t="s">
        <v>126</v>
      </c>
      <c r="T3" s="25" t="s">
        <v>127</v>
      </c>
      <c r="U3" s="25">
        <v>150000.0</v>
      </c>
      <c r="V3" s="25" t="s">
        <v>128</v>
      </c>
      <c r="W3" s="25" t="s">
        <v>129</v>
      </c>
      <c r="X3" s="25" t="s">
        <v>114</v>
      </c>
      <c r="Y3" s="25" t="s">
        <v>130</v>
      </c>
      <c r="AC3" s="25" t="s">
        <v>119</v>
      </c>
      <c r="AD3" s="25" t="s">
        <v>131</v>
      </c>
      <c r="AE3" s="25" t="s">
        <v>132</v>
      </c>
      <c r="AF3" s="25" t="s">
        <v>133</v>
      </c>
    </row>
    <row r="4">
      <c r="A4" s="25" t="s">
        <v>134</v>
      </c>
      <c r="B4" s="25" t="s">
        <v>103</v>
      </c>
      <c r="C4" s="25" t="s">
        <v>135</v>
      </c>
      <c r="D4" s="25" t="s">
        <v>136</v>
      </c>
      <c r="E4" s="25" t="s">
        <v>137</v>
      </c>
      <c r="G4" s="25">
        <v>0.0</v>
      </c>
      <c r="H4" s="25">
        <v>112010.0</v>
      </c>
      <c r="I4" s="25">
        <v>52900.0</v>
      </c>
      <c r="J4" s="25">
        <v>28003.0</v>
      </c>
      <c r="K4" s="25" t="s">
        <v>108</v>
      </c>
      <c r="L4" s="25">
        <v>0.0</v>
      </c>
      <c r="M4" s="25">
        <v>0.0</v>
      </c>
      <c r="N4" s="25" t="s">
        <v>109</v>
      </c>
      <c r="O4" s="39">
        <v>45727.0</v>
      </c>
      <c r="P4" s="39">
        <v>45821.0</v>
      </c>
      <c r="Q4" s="25">
        <v>4.0</v>
      </c>
      <c r="R4" s="25">
        <v>13.0</v>
      </c>
      <c r="S4" s="25" t="s">
        <v>138</v>
      </c>
      <c r="T4" s="25" t="s">
        <v>127</v>
      </c>
      <c r="U4" s="25">
        <v>200000.0</v>
      </c>
      <c r="V4" s="25" t="s">
        <v>139</v>
      </c>
      <c r="W4" s="25" t="s">
        <v>140</v>
      </c>
      <c r="X4" s="25" t="s">
        <v>114</v>
      </c>
      <c r="Y4" s="25" t="s">
        <v>141</v>
      </c>
      <c r="AC4" s="25" t="s">
        <v>119</v>
      </c>
      <c r="AD4" s="25" t="s">
        <v>142</v>
      </c>
      <c r="AE4" s="25" t="s">
        <v>143</v>
      </c>
      <c r="AF4" s="25" t="s">
        <v>144</v>
      </c>
    </row>
    <row r="5">
      <c r="A5" s="25" t="s">
        <v>145</v>
      </c>
      <c r="B5" s="25" t="s">
        <v>146</v>
      </c>
      <c r="C5" s="25" t="s">
        <v>147</v>
      </c>
      <c r="D5" s="25" t="s">
        <v>148</v>
      </c>
      <c r="E5" s="40" t="s">
        <v>149</v>
      </c>
      <c r="G5" s="25">
        <v>0.0</v>
      </c>
      <c r="H5" s="25">
        <v>106260.0</v>
      </c>
      <c r="I5" s="25">
        <v>106260.0</v>
      </c>
      <c r="J5" s="25">
        <v>106260.0</v>
      </c>
      <c r="K5" s="25" t="s">
        <v>108</v>
      </c>
      <c r="L5" s="25">
        <v>0.0</v>
      </c>
      <c r="M5" s="25">
        <v>0.0</v>
      </c>
      <c r="N5" s="25" t="s">
        <v>109</v>
      </c>
      <c r="O5" s="39">
        <v>45736.0</v>
      </c>
      <c r="P5" s="39">
        <v>45736.0</v>
      </c>
      <c r="Q5" s="25">
        <v>1.0</v>
      </c>
      <c r="R5" s="25">
        <v>98.0</v>
      </c>
      <c r="S5" s="25" t="s">
        <v>150</v>
      </c>
      <c r="T5" s="25" t="s">
        <v>151</v>
      </c>
      <c r="U5" s="25">
        <v>400000.0</v>
      </c>
      <c r="V5" s="25" t="s">
        <v>152</v>
      </c>
      <c r="W5" s="25" t="s">
        <v>153</v>
      </c>
      <c r="X5" s="25" t="s">
        <v>154</v>
      </c>
      <c r="Y5" s="25" t="s">
        <v>155</v>
      </c>
      <c r="AC5" s="25" t="s">
        <v>119</v>
      </c>
      <c r="AD5" s="25" t="s">
        <v>156</v>
      </c>
      <c r="AE5" s="25" t="s">
        <v>157</v>
      </c>
      <c r="AF5" s="25" t="s">
        <v>158</v>
      </c>
    </row>
    <row r="6">
      <c r="A6" s="25" t="s">
        <v>159</v>
      </c>
      <c r="B6" s="25" t="s">
        <v>103</v>
      </c>
      <c r="C6" s="25" t="s">
        <v>160</v>
      </c>
      <c r="D6" s="25" t="s">
        <v>161</v>
      </c>
      <c r="E6" s="25" t="s">
        <v>162</v>
      </c>
      <c r="G6" s="25">
        <v>0.0</v>
      </c>
      <c r="H6" s="25">
        <v>91911.0</v>
      </c>
      <c r="I6" s="25">
        <v>9521.0</v>
      </c>
      <c r="J6" s="25">
        <v>15318.0</v>
      </c>
      <c r="K6" s="25" t="s">
        <v>108</v>
      </c>
      <c r="L6" s="25">
        <v>0.0</v>
      </c>
      <c r="M6" s="25">
        <v>0.0</v>
      </c>
      <c r="N6" s="25" t="s">
        <v>109</v>
      </c>
      <c r="O6" s="39">
        <v>45391.0</v>
      </c>
      <c r="P6" s="39">
        <v>45772.0</v>
      </c>
      <c r="Q6" s="25">
        <v>6.0</v>
      </c>
      <c r="R6" s="25">
        <v>62.0</v>
      </c>
      <c r="S6" s="25" t="s">
        <v>163</v>
      </c>
      <c r="T6" s="25" t="s">
        <v>127</v>
      </c>
      <c r="U6" s="25">
        <v>120000.0</v>
      </c>
      <c r="V6" s="25" t="s">
        <v>164</v>
      </c>
      <c r="W6" s="25" t="s">
        <v>165</v>
      </c>
      <c r="X6" s="25" t="s">
        <v>114</v>
      </c>
      <c r="Y6" s="25" t="s">
        <v>166</v>
      </c>
      <c r="AC6" s="25" t="s">
        <v>119</v>
      </c>
      <c r="AD6" s="25" t="s">
        <v>167</v>
      </c>
      <c r="AE6" s="25" t="s">
        <v>168</v>
      </c>
      <c r="AF6" s="25" t="s">
        <v>169</v>
      </c>
    </row>
    <row r="7">
      <c r="A7" s="25" t="s">
        <v>170</v>
      </c>
      <c r="B7" s="25" t="s">
        <v>103</v>
      </c>
      <c r="C7" s="25" t="s">
        <v>171</v>
      </c>
      <c r="D7" s="25" t="s">
        <v>172</v>
      </c>
      <c r="E7" s="25" t="s">
        <v>173</v>
      </c>
      <c r="F7" s="25" t="s">
        <v>174</v>
      </c>
      <c r="G7" s="25">
        <v>4.730202969E9</v>
      </c>
      <c r="H7" s="25">
        <v>89125.0</v>
      </c>
      <c r="I7" s="25">
        <v>3450.0</v>
      </c>
      <c r="J7" s="25">
        <v>11141.0</v>
      </c>
      <c r="K7" s="25" t="s">
        <v>108</v>
      </c>
      <c r="L7" s="25">
        <v>0.0</v>
      </c>
      <c r="M7" s="25">
        <v>0.0</v>
      </c>
      <c r="N7" s="25" t="s">
        <v>109</v>
      </c>
      <c r="O7" s="39">
        <v>45363.0</v>
      </c>
      <c r="P7" s="39">
        <v>45708.0</v>
      </c>
      <c r="Q7" s="25">
        <v>8.0</v>
      </c>
      <c r="R7" s="25">
        <v>126.0</v>
      </c>
      <c r="S7" s="25" t="s">
        <v>175</v>
      </c>
      <c r="T7" s="25" t="s">
        <v>127</v>
      </c>
      <c r="U7" s="25">
        <v>100000.0</v>
      </c>
      <c r="V7" s="25" t="s">
        <v>176</v>
      </c>
      <c r="W7" s="25" t="s">
        <v>177</v>
      </c>
      <c r="X7" s="25" t="s">
        <v>114</v>
      </c>
      <c r="Y7" s="25" t="s">
        <v>178</v>
      </c>
      <c r="Z7" s="25" t="s">
        <v>179</v>
      </c>
      <c r="AA7" s="25" t="s">
        <v>180</v>
      </c>
      <c r="AB7" s="25" t="s">
        <v>181</v>
      </c>
      <c r="AC7" s="25" t="s">
        <v>119</v>
      </c>
      <c r="AD7" s="25" t="s">
        <v>142</v>
      </c>
      <c r="AE7" s="25" t="s">
        <v>182</v>
      </c>
      <c r="AF7" s="25" t="s">
        <v>183</v>
      </c>
    </row>
    <row r="8">
      <c r="A8" s="25" t="s">
        <v>184</v>
      </c>
      <c r="B8" s="25" t="s">
        <v>103</v>
      </c>
      <c r="C8" s="25" t="s">
        <v>185</v>
      </c>
      <c r="D8" s="25" t="s">
        <v>186</v>
      </c>
      <c r="E8" s="25" t="s">
        <v>187</v>
      </c>
      <c r="G8" s="25">
        <v>0.0</v>
      </c>
      <c r="H8" s="25">
        <v>77280.0</v>
      </c>
      <c r="I8" s="25">
        <v>77280.0</v>
      </c>
      <c r="J8" s="25">
        <v>77280.0</v>
      </c>
      <c r="K8" s="25" t="s">
        <v>108</v>
      </c>
      <c r="L8" s="25">
        <v>0.0</v>
      </c>
      <c r="M8" s="25">
        <v>0.0</v>
      </c>
      <c r="N8" s="25" t="s">
        <v>109</v>
      </c>
      <c r="O8" s="39">
        <v>45551.0</v>
      </c>
      <c r="P8" s="39">
        <v>45551.0</v>
      </c>
      <c r="Q8" s="25">
        <v>1.0</v>
      </c>
      <c r="R8" s="25">
        <v>283.0</v>
      </c>
      <c r="S8" s="25" t="s">
        <v>188</v>
      </c>
      <c r="T8" s="25" t="s">
        <v>151</v>
      </c>
      <c r="U8" s="25">
        <v>300000.0</v>
      </c>
      <c r="V8" s="25" t="s">
        <v>189</v>
      </c>
      <c r="W8" s="25" t="s">
        <v>190</v>
      </c>
      <c r="X8" s="25" t="s">
        <v>191</v>
      </c>
      <c r="Y8" s="25" t="s">
        <v>192</v>
      </c>
      <c r="AC8" s="25" t="s">
        <v>119</v>
      </c>
      <c r="AD8" s="25" t="s">
        <v>142</v>
      </c>
      <c r="AE8" s="25" t="s">
        <v>193</v>
      </c>
      <c r="AF8" s="25" t="s">
        <v>194</v>
      </c>
    </row>
    <row r="9">
      <c r="A9" s="25" t="s">
        <v>195</v>
      </c>
      <c r="B9" s="25" t="s">
        <v>103</v>
      </c>
      <c r="C9" s="25" t="s">
        <v>196</v>
      </c>
      <c r="D9" s="25" t="s">
        <v>197</v>
      </c>
      <c r="E9" s="25" t="s">
        <v>198</v>
      </c>
      <c r="G9" s="25">
        <v>0.0</v>
      </c>
      <c r="H9" s="25">
        <v>66309.0</v>
      </c>
      <c r="I9" s="25">
        <v>6670.0</v>
      </c>
      <c r="J9" s="25">
        <v>11052.0</v>
      </c>
      <c r="K9" s="25" t="s">
        <v>108</v>
      </c>
      <c r="L9" s="25">
        <v>0.0</v>
      </c>
      <c r="M9" s="25">
        <v>0.0</v>
      </c>
      <c r="N9" s="25" t="s">
        <v>109</v>
      </c>
      <c r="O9" s="39">
        <v>45569.0</v>
      </c>
      <c r="P9" s="39">
        <v>45789.0</v>
      </c>
      <c r="Q9" s="25">
        <v>6.0</v>
      </c>
      <c r="R9" s="25">
        <v>45.0</v>
      </c>
      <c r="S9" s="25" t="s">
        <v>163</v>
      </c>
      <c r="T9" s="25" t="s">
        <v>127</v>
      </c>
      <c r="U9" s="25">
        <v>80000.0</v>
      </c>
      <c r="V9" s="25" t="s">
        <v>164</v>
      </c>
      <c r="W9" s="25" t="s">
        <v>199</v>
      </c>
      <c r="X9" s="25" t="s">
        <v>114</v>
      </c>
      <c r="Y9" s="25" t="s">
        <v>200</v>
      </c>
      <c r="AC9" s="25" t="s">
        <v>119</v>
      </c>
      <c r="AD9" s="25" t="s">
        <v>142</v>
      </c>
      <c r="AE9" s="25" t="s">
        <v>201</v>
      </c>
      <c r="AF9" s="25" t="s">
        <v>202</v>
      </c>
    </row>
    <row r="10">
      <c r="A10" s="25" t="s">
        <v>203</v>
      </c>
      <c r="B10" s="25" t="s">
        <v>204</v>
      </c>
      <c r="C10" s="25" t="s">
        <v>205</v>
      </c>
      <c r="D10" s="25" t="s">
        <v>206</v>
      </c>
      <c r="E10" s="25" t="s">
        <v>207</v>
      </c>
      <c r="G10" s="25">
        <v>0.0</v>
      </c>
      <c r="H10" s="25">
        <v>57040.0</v>
      </c>
      <c r="I10" s="25">
        <v>57040.0</v>
      </c>
      <c r="J10" s="25">
        <v>57040.0</v>
      </c>
      <c r="K10" s="25" t="s">
        <v>108</v>
      </c>
      <c r="L10" s="25">
        <v>0.0</v>
      </c>
      <c r="M10" s="25">
        <v>0.0</v>
      </c>
      <c r="N10" s="25" t="s">
        <v>109</v>
      </c>
      <c r="O10" s="39">
        <v>45560.0</v>
      </c>
      <c r="P10" s="39">
        <v>45560.0</v>
      </c>
      <c r="Q10" s="25">
        <v>1.0</v>
      </c>
      <c r="R10" s="25">
        <v>274.0</v>
      </c>
      <c r="S10" s="25" t="s">
        <v>208</v>
      </c>
      <c r="T10" s="25" t="s">
        <v>151</v>
      </c>
      <c r="U10" s="25">
        <v>200000.0</v>
      </c>
      <c r="V10" s="25" t="s">
        <v>189</v>
      </c>
      <c r="W10" s="25" t="s">
        <v>209</v>
      </c>
      <c r="X10" s="25" t="s">
        <v>191</v>
      </c>
      <c r="Y10" s="25" t="s">
        <v>210</v>
      </c>
      <c r="AC10" s="25" t="s">
        <v>119</v>
      </c>
      <c r="AD10" s="25" t="s">
        <v>211</v>
      </c>
      <c r="AE10" s="25" t="s">
        <v>212</v>
      </c>
      <c r="AF10" s="25" t="s">
        <v>213</v>
      </c>
    </row>
    <row r="11">
      <c r="A11" s="25" t="s">
        <v>214</v>
      </c>
      <c r="B11" s="25" t="s">
        <v>103</v>
      </c>
      <c r="C11" s="25" t="s">
        <v>215</v>
      </c>
      <c r="D11" s="25" t="s">
        <v>216</v>
      </c>
      <c r="E11" s="25" t="s">
        <v>217</v>
      </c>
      <c r="G11" s="25">
        <v>0.0</v>
      </c>
      <c r="H11" s="25">
        <v>54270.0</v>
      </c>
      <c r="I11" s="25">
        <v>54270.0</v>
      </c>
      <c r="J11" s="25">
        <v>54270.0</v>
      </c>
      <c r="K11" s="25" t="s">
        <v>108</v>
      </c>
      <c r="L11" s="25">
        <v>0.0</v>
      </c>
      <c r="M11" s="25">
        <v>0.0</v>
      </c>
      <c r="N11" s="25" t="s">
        <v>109</v>
      </c>
      <c r="O11" s="39">
        <v>45322.0</v>
      </c>
      <c r="P11" s="39">
        <v>45322.0</v>
      </c>
      <c r="Q11" s="25">
        <v>1.0</v>
      </c>
      <c r="R11" s="25">
        <v>516.0</v>
      </c>
      <c r="S11" s="25" t="s">
        <v>218</v>
      </c>
      <c r="T11" s="25" t="s">
        <v>151</v>
      </c>
      <c r="U11" s="25">
        <v>250000.0</v>
      </c>
      <c r="V11" s="25" t="s">
        <v>219</v>
      </c>
      <c r="W11" s="25" t="s">
        <v>220</v>
      </c>
      <c r="X11" s="25" t="s">
        <v>221</v>
      </c>
      <c r="Y11" s="25" t="s">
        <v>222</v>
      </c>
      <c r="AC11" s="25" t="s">
        <v>119</v>
      </c>
      <c r="AD11" s="25" t="s">
        <v>142</v>
      </c>
      <c r="AE11" s="25" t="s">
        <v>223</v>
      </c>
      <c r="AF11" s="25" t="s">
        <v>224</v>
      </c>
    </row>
    <row r="12">
      <c r="A12" s="25" t="s">
        <v>225</v>
      </c>
      <c r="B12" s="25" t="s">
        <v>226</v>
      </c>
      <c r="C12" s="25" t="s">
        <v>227</v>
      </c>
      <c r="D12" s="25" t="s">
        <v>228</v>
      </c>
      <c r="E12" s="25" t="s">
        <v>229</v>
      </c>
      <c r="G12" s="25">
        <v>0.0</v>
      </c>
      <c r="H12" s="25">
        <v>53493.0</v>
      </c>
      <c r="I12" s="25">
        <v>13662.0</v>
      </c>
      <c r="J12" s="25">
        <v>13373.0</v>
      </c>
      <c r="K12" s="25" t="s">
        <v>108</v>
      </c>
      <c r="L12" s="25">
        <v>0.0</v>
      </c>
      <c r="M12" s="25">
        <v>0.0</v>
      </c>
      <c r="N12" s="25" t="s">
        <v>109</v>
      </c>
      <c r="O12" s="39">
        <v>45405.0</v>
      </c>
      <c r="P12" s="39">
        <v>45705.0</v>
      </c>
      <c r="Q12" s="25">
        <v>4.0</v>
      </c>
      <c r="R12" s="25">
        <v>129.0</v>
      </c>
      <c r="S12" s="25" t="s">
        <v>230</v>
      </c>
      <c r="T12" s="25" t="s">
        <v>231</v>
      </c>
      <c r="U12" s="25">
        <v>60000.0</v>
      </c>
      <c r="V12" s="25" t="s">
        <v>164</v>
      </c>
      <c r="W12" s="25" t="s">
        <v>232</v>
      </c>
      <c r="X12" s="25" t="s">
        <v>114</v>
      </c>
      <c r="Y12" s="25" t="s">
        <v>233</v>
      </c>
      <c r="AC12" s="25" t="s">
        <v>119</v>
      </c>
      <c r="AD12" s="25" t="s">
        <v>234</v>
      </c>
      <c r="AE12" s="25" t="s">
        <v>235</v>
      </c>
      <c r="AF12" s="25" t="s">
        <v>236</v>
      </c>
    </row>
    <row r="13">
      <c r="A13" s="25" t="s">
        <v>237</v>
      </c>
      <c r="B13" s="25" t="s">
        <v>238</v>
      </c>
      <c r="C13" s="25" t="s">
        <v>239</v>
      </c>
      <c r="D13" s="25" t="s">
        <v>240</v>
      </c>
      <c r="E13" s="25" t="s">
        <v>241</v>
      </c>
      <c r="G13" s="25">
        <v>0.0</v>
      </c>
      <c r="H13" s="25">
        <v>41429.0</v>
      </c>
      <c r="I13" s="25">
        <v>41429.0</v>
      </c>
      <c r="J13" s="25">
        <v>41429.0</v>
      </c>
      <c r="K13" s="25" t="s">
        <v>108</v>
      </c>
      <c r="L13" s="25">
        <v>0.0</v>
      </c>
      <c r="M13" s="25">
        <v>0.0</v>
      </c>
      <c r="N13" s="25" t="s">
        <v>109</v>
      </c>
      <c r="O13" s="39">
        <v>45748.0</v>
      </c>
      <c r="P13" s="39">
        <v>45748.0</v>
      </c>
      <c r="Q13" s="25">
        <v>1.0</v>
      </c>
      <c r="R13" s="25">
        <v>86.0</v>
      </c>
      <c r="S13" s="25" t="s">
        <v>242</v>
      </c>
      <c r="T13" s="25" t="s">
        <v>243</v>
      </c>
      <c r="U13" s="25">
        <v>120000.0</v>
      </c>
      <c r="V13" s="25" t="s">
        <v>244</v>
      </c>
      <c r="W13" s="25" t="s">
        <v>245</v>
      </c>
      <c r="X13" s="25" t="s">
        <v>26</v>
      </c>
      <c r="Y13" s="25" t="s">
        <v>246</v>
      </c>
      <c r="AC13" s="25" t="s">
        <v>119</v>
      </c>
      <c r="AD13" s="25" t="s">
        <v>247</v>
      </c>
      <c r="AE13" s="25" t="s">
        <v>248</v>
      </c>
      <c r="AF13" s="25" t="s">
        <v>249</v>
      </c>
    </row>
    <row r="14">
      <c r="A14" s="25" t="s">
        <v>250</v>
      </c>
      <c r="B14" s="25" t="s">
        <v>238</v>
      </c>
      <c r="C14" s="25" t="s">
        <v>251</v>
      </c>
      <c r="D14" s="25" t="s">
        <v>252</v>
      </c>
      <c r="E14" s="25" t="s">
        <v>253</v>
      </c>
      <c r="G14" s="25">
        <v>0.0</v>
      </c>
      <c r="H14" s="25">
        <v>37620.0</v>
      </c>
      <c r="I14" s="25">
        <v>37620.0</v>
      </c>
      <c r="J14" s="25">
        <v>37620.0</v>
      </c>
      <c r="K14" s="25" t="s">
        <v>108</v>
      </c>
      <c r="L14" s="25">
        <v>0.0</v>
      </c>
      <c r="M14" s="25">
        <v>0.0</v>
      </c>
      <c r="N14" s="25" t="s">
        <v>109</v>
      </c>
      <c r="O14" s="39">
        <v>45352.0</v>
      </c>
      <c r="P14" s="39">
        <v>45352.0</v>
      </c>
      <c r="Q14" s="25">
        <v>1.0</v>
      </c>
      <c r="R14" s="25">
        <v>481.0</v>
      </c>
      <c r="S14" s="25" t="s">
        <v>242</v>
      </c>
      <c r="T14" s="25" t="s">
        <v>243</v>
      </c>
      <c r="U14" s="25">
        <v>100000.0</v>
      </c>
      <c r="V14" s="25" t="s">
        <v>254</v>
      </c>
      <c r="W14" s="25" t="s">
        <v>255</v>
      </c>
      <c r="X14" s="25" t="s">
        <v>256</v>
      </c>
      <c r="Y14" s="25" t="s">
        <v>257</v>
      </c>
      <c r="AC14" s="25" t="s">
        <v>119</v>
      </c>
      <c r="AD14" s="25" t="s">
        <v>247</v>
      </c>
      <c r="AE14" s="25" t="s">
        <v>258</v>
      </c>
      <c r="AF14" s="25" t="s">
        <v>259</v>
      </c>
    </row>
    <row r="15">
      <c r="A15" s="25" t="s">
        <v>260</v>
      </c>
      <c r="B15" s="25" t="s">
        <v>103</v>
      </c>
      <c r="C15" s="25" t="s">
        <v>261</v>
      </c>
      <c r="D15" s="25" t="s">
        <v>262</v>
      </c>
      <c r="E15" s="25" t="s">
        <v>263</v>
      </c>
      <c r="G15" s="25">
        <v>0.0</v>
      </c>
      <c r="H15" s="25">
        <v>37490.0</v>
      </c>
      <c r="I15" s="25">
        <v>37490.0</v>
      </c>
      <c r="J15" s="25">
        <v>37490.0</v>
      </c>
      <c r="K15" s="25" t="s">
        <v>108</v>
      </c>
      <c r="L15" s="25">
        <v>0.0</v>
      </c>
      <c r="M15" s="25">
        <v>0.0</v>
      </c>
      <c r="N15" s="25" t="s">
        <v>109</v>
      </c>
      <c r="O15" s="39">
        <v>45345.0</v>
      </c>
      <c r="P15" s="39">
        <v>45345.0</v>
      </c>
      <c r="Q15" s="25">
        <v>1.0</v>
      </c>
      <c r="R15" s="25">
        <v>487.0</v>
      </c>
      <c r="S15" s="25" t="s">
        <v>242</v>
      </c>
      <c r="T15" s="25" t="s">
        <v>243</v>
      </c>
      <c r="U15" s="25">
        <v>80000.0</v>
      </c>
      <c r="V15" s="25" t="s">
        <v>254</v>
      </c>
      <c r="W15" s="25" t="s">
        <v>264</v>
      </c>
      <c r="X15" s="25" t="s">
        <v>256</v>
      </c>
      <c r="Y15" s="25" t="s">
        <v>257</v>
      </c>
      <c r="AC15" s="25" t="s">
        <v>119</v>
      </c>
      <c r="AD15" s="25" t="s">
        <v>265</v>
      </c>
      <c r="AE15" s="25" t="s">
        <v>266</v>
      </c>
      <c r="AF15" s="25" t="s">
        <v>267</v>
      </c>
    </row>
    <row r="16">
      <c r="A16" s="25" t="s">
        <v>268</v>
      </c>
      <c r="B16" s="25" t="s">
        <v>238</v>
      </c>
      <c r="C16" s="25" t="s">
        <v>269</v>
      </c>
      <c r="D16" s="25" t="s">
        <v>270</v>
      </c>
      <c r="E16" s="25" t="s">
        <v>271</v>
      </c>
      <c r="G16" s="25">
        <v>0.0</v>
      </c>
      <c r="H16" s="25">
        <v>32373.0</v>
      </c>
      <c r="I16" s="25">
        <v>20470.0</v>
      </c>
      <c r="J16" s="25">
        <v>16186.0</v>
      </c>
      <c r="K16" s="25" t="s">
        <v>108</v>
      </c>
      <c r="L16" s="25">
        <v>0.0</v>
      </c>
      <c r="M16" s="25">
        <v>0.0</v>
      </c>
      <c r="N16" s="25" t="s">
        <v>109</v>
      </c>
      <c r="O16" s="39">
        <v>45446.0</v>
      </c>
      <c r="P16" s="39">
        <v>45463.0</v>
      </c>
      <c r="Q16" s="25">
        <v>2.0</v>
      </c>
      <c r="R16" s="25">
        <v>371.0</v>
      </c>
      <c r="S16" s="25" t="s">
        <v>272</v>
      </c>
      <c r="T16" s="25" t="s">
        <v>273</v>
      </c>
      <c r="U16" s="25">
        <v>50000.0</v>
      </c>
      <c r="V16" s="25" t="s">
        <v>274</v>
      </c>
      <c r="W16" s="25" t="s">
        <v>275</v>
      </c>
      <c r="X16" s="25" t="s">
        <v>276</v>
      </c>
      <c r="Y16" s="25" t="s">
        <v>277</v>
      </c>
      <c r="AC16" s="25" t="s">
        <v>119</v>
      </c>
      <c r="AD16" s="25" t="s">
        <v>247</v>
      </c>
      <c r="AE16" s="25" t="s">
        <v>278</v>
      </c>
      <c r="AF16" s="25" t="s">
        <v>279</v>
      </c>
    </row>
    <row r="17">
      <c r="A17" s="25" t="s">
        <v>280</v>
      </c>
      <c r="B17" s="25" t="s">
        <v>238</v>
      </c>
      <c r="C17" s="25" t="s">
        <v>281</v>
      </c>
      <c r="D17" s="25" t="s">
        <v>282</v>
      </c>
      <c r="E17" s="25" t="s">
        <v>283</v>
      </c>
      <c r="G17" s="25">
        <v>0.0</v>
      </c>
      <c r="H17" s="25">
        <v>28118.0</v>
      </c>
      <c r="I17" s="25">
        <v>8683.0</v>
      </c>
      <c r="J17" s="25">
        <v>14059.0</v>
      </c>
      <c r="K17" s="25" t="s">
        <v>108</v>
      </c>
      <c r="L17" s="25">
        <v>0.0</v>
      </c>
      <c r="M17" s="25">
        <v>0.0</v>
      </c>
      <c r="N17" s="25" t="s">
        <v>109</v>
      </c>
      <c r="O17" s="39">
        <v>45716.0</v>
      </c>
      <c r="P17" s="39">
        <v>45726.0</v>
      </c>
      <c r="Q17" s="25">
        <v>2.0</v>
      </c>
      <c r="R17" s="25">
        <v>108.0</v>
      </c>
      <c r="S17" s="25" t="s">
        <v>272</v>
      </c>
      <c r="T17" s="25" t="s">
        <v>273</v>
      </c>
      <c r="U17" s="25">
        <v>50000.0</v>
      </c>
      <c r="V17" s="25" t="s">
        <v>284</v>
      </c>
      <c r="W17" s="25" t="s">
        <v>285</v>
      </c>
      <c r="X17" s="25" t="s">
        <v>26</v>
      </c>
      <c r="Y17" s="25" t="s">
        <v>286</v>
      </c>
      <c r="AC17" s="25" t="s">
        <v>119</v>
      </c>
      <c r="AD17" s="25" t="s">
        <v>247</v>
      </c>
      <c r="AE17" s="25" t="s">
        <v>287</v>
      </c>
      <c r="AF17" s="25" t="s">
        <v>288</v>
      </c>
    </row>
    <row r="18">
      <c r="A18" s="25" t="s">
        <v>289</v>
      </c>
      <c r="B18" s="25" t="s">
        <v>238</v>
      </c>
      <c r="C18" s="25" t="s">
        <v>290</v>
      </c>
      <c r="D18" s="25" t="s">
        <v>291</v>
      </c>
      <c r="E18" s="25" t="s">
        <v>292</v>
      </c>
      <c r="G18" s="25">
        <v>0.0</v>
      </c>
      <c r="H18" s="25">
        <v>27313.0</v>
      </c>
      <c r="I18" s="25">
        <v>27313.0</v>
      </c>
      <c r="J18" s="25">
        <v>27313.0</v>
      </c>
      <c r="K18" s="25" t="s">
        <v>108</v>
      </c>
      <c r="L18" s="25">
        <v>0.0</v>
      </c>
      <c r="M18" s="25">
        <v>0.0</v>
      </c>
      <c r="N18" s="25" t="s">
        <v>109</v>
      </c>
      <c r="O18" s="39">
        <v>45602.0</v>
      </c>
      <c r="P18" s="39">
        <v>45602.0</v>
      </c>
      <c r="Q18" s="25">
        <v>1.0</v>
      </c>
      <c r="R18" s="25">
        <v>232.0</v>
      </c>
      <c r="S18" s="25" t="s">
        <v>242</v>
      </c>
      <c r="T18" s="25" t="s">
        <v>243</v>
      </c>
      <c r="U18" s="25">
        <v>60000.0</v>
      </c>
      <c r="V18" s="25" t="s">
        <v>293</v>
      </c>
      <c r="W18" s="25" t="s">
        <v>255</v>
      </c>
      <c r="X18" s="25" t="s">
        <v>276</v>
      </c>
      <c r="Y18" s="25" t="s">
        <v>294</v>
      </c>
      <c r="AC18" s="25" t="s">
        <v>119</v>
      </c>
      <c r="AD18" s="25" t="s">
        <v>247</v>
      </c>
      <c r="AE18" s="25" t="s">
        <v>295</v>
      </c>
      <c r="AF18" s="25" t="s">
        <v>296</v>
      </c>
    </row>
    <row r="19">
      <c r="A19" s="25" t="s">
        <v>297</v>
      </c>
      <c r="B19" s="25" t="s">
        <v>103</v>
      </c>
      <c r="C19" s="25" t="s">
        <v>298</v>
      </c>
      <c r="D19" s="25" t="s">
        <v>299</v>
      </c>
      <c r="G19" s="25">
        <v>0.0</v>
      </c>
      <c r="H19" s="25">
        <v>25530.0</v>
      </c>
      <c r="I19" s="25">
        <v>25530.0</v>
      </c>
      <c r="J19" s="25">
        <v>25530.0</v>
      </c>
      <c r="K19" s="25" t="s">
        <v>108</v>
      </c>
      <c r="L19" s="25">
        <v>0.0</v>
      </c>
      <c r="M19" s="25">
        <v>0.0</v>
      </c>
      <c r="N19" s="25" t="s">
        <v>109</v>
      </c>
      <c r="O19" s="39">
        <v>45422.0</v>
      </c>
      <c r="P19" s="39">
        <v>45422.0</v>
      </c>
      <c r="Q19" s="25">
        <v>1.0</v>
      </c>
      <c r="R19" s="25">
        <v>412.0</v>
      </c>
      <c r="S19" s="25" t="s">
        <v>300</v>
      </c>
      <c r="T19" s="25" t="s">
        <v>243</v>
      </c>
      <c r="U19" s="25">
        <v>50000.0</v>
      </c>
      <c r="V19" s="25" t="s">
        <v>254</v>
      </c>
      <c r="W19" s="25" t="s">
        <v>301</v>
      </c>
      <c r="X19" s="25" t="s">
        <v>256</v>
      </c>
      <c r="Y19" s="25" t="s">
        <v>302</v>
      </c>
      <c r="AC19" s="25" t="s">
        <v>119</v>
      </c>
      <c r="AD19" s="25" t="s">
        <v>142</v>
      </c>
      <c r="AE19" s="25" t="s">
        <v>303</v>
      </c>
      <c r="AF19" s="25" t="s">
        <v>304</v>
      </c>
    </row>
    <row r="20">
      <c r="A20" s="25" t="s">
        <v>305</v>
      </c>
      <c r="B20" s="25" t="s">
        <v>103</v>
      </c>
      <c r="C20" s="25" t="s">
        <v>306</v>
      </c>
      <c r="D20" s="25" t="s">
        <v>307</v>
      </c>
      <c r="E20" s="25" t="s">
        <v>308</v>
      </c>
      <c r="G20" s="25">
        <v>0.0</v>
      </c>
      <c r="H20" s="25">
        <v>22540.0</v>
      </c>
      <c r="I20" s="25">
        <v>11270.0</v>
      </c>
      <c r="J20" s="25">
        <v>11270.0</v>
      </c>
      <c r="K20" s="25" t="s">
        <v>108</v>
      </c>
      <c r="L20" s="25">
        <v>0.0</v>
      </c>
      <c r="M20" s="25">
        <v>0.0</v>
      </c>
      <c r="N20" s="25" t="s">
        <v>109</v>
      </c>
      <c r="O20" s="39">
        <v>45418.0</v>
      </c>
      <c r="P20" s="39">
        <v>45468.0</v>
      </c>
      <c r="Q20" s="25">
        <v>2.0</v>
      </c>
      <c r="R20" s="25">
        <v>366.0</v>
      </c>
      <c r="S20" s="25" t="s">
        <v>272</v>
      </c>
      <c r="T20" s="25" t="s">
        <v>273</v>
      </c>
      <c r="U20" s="25">
        <v>40000.0</v>
      </c>
      <c r="V20" s="25" t="s">
        <v>309</v>
      </c>
      <c r="W20" s="25" t="s">
        <v>310</v>
      </c>
      <c r="X20" s="25" t="s">
        <v>276</v>
      </c>
      <c r="Y20" s="25" t="s">
        <v>277</v>
      </c>
      <c r="AC20" s="25" t="s">
        <v>119</v>
      </c>
      <c r="AD20" s="25" t="s">
        <v>142</v>
      </c>
      <c r="AE20" s="25" t="s">
        <v>311</v>
      </c>
      <c r="AF20" s="25" t="s">
        <v>312</v>
      </c>
    </row>
    <row r="21">
      <c r="A21" s="25" t="s">
        <v>313</v>
      </c>
      <c r="B21" s="25" t="s">
        <v>103</v>
      </c>
      <c r="C21" s="25" t="s">
        <v>314</v>
      </c>
      <c r="D21" s="25" t="s">
        <v>315</v>
      </c>
      <c r="E21" s="25" t="s">
        <v>316</v>
      </c>
      <c r="F21" s="25" t="s">
        <v>317</v>
      </c>
      <c r="G21" s="25">
        <v>0.0</v>
      </c>
      <c r="H21" s="25">
        <v>37697.0</v>
      </c>
      <c r="I21" s="25">
        <v>9453.0</v>
      </c>
      <c r="J21" s="25">
        <v>12566.0</v>
      </c>
      <c r="K21" s="25" t="s">
        <v>108</v>
      </c>
      <c r="L21" s="25">
        <v>0.0</v>
      </c>
      <c r="M21" s="25">
        <v>0.0</v>
      </c>
      <c r="N21" s="25" t="s">
        <v>109</v>
      </c>
      <c r="O21" s="39">
        <v>45314.0</v>
      </c>
      <c r="P21" s="39">
        <v>45777.0</v>
      </c>
      <c r="Q21" s="25">
        <v>3.0</v>
      </c>
      <c r="R21" s="25">
        <v>57.0</v>
      </c>
      <c r="S21" s="25" t="s">
        <v>318</v>
      </c>
      <c r="T21" s="25" t="s">
        <v>273</v>
      </c>
      <c r="U21" s="25">
        <v>40000.0</v>
      </c>
      <c r="V21" s="25" t="s">
        <v>309</v>
      </c>
      <c r="W21" s="25" t="s">
        <v>319</v>
      </c>
      <c r="X21" s="25" t="s">
        <v>114</v>
      </c>
      <c r="Y21" s="25" t="s">
        <v>320</v>
      </c>
      <c r="AC21" s="25" t="s">
        <v>119</v>
      </c>
      <c r="AD21" s="25" t="s">
        <v>142</v>
      </c>
      <c r="AE21" s="25" t="s">
        <v>321</v>
      </c>
      <c r="AF21" s="25" t="s">
        <v>322</v>
      </c>
    </row>
    <row r="22">
      <c r="A22" s="25" t="s">
        <v>323</v>
      </c>
      <c r="B22" s="25" t="s">
        <v>103</v>
      </c>
      <c r="C22" s="25" t="s">
        <v>324</v>
      </c>
      <c r="E22" s="25" t="s">
        <v>325</v>
      </c>
      <c r="G22" s="25">
        <v>0.0</v>
      </c>
      <c r="H22" s="25">
        <v>20298.0</v>
      </c>
      <c r="I22" s="25">
        <v>20298.0</v>
      </c>
      <c r="J22" s="25">
        <v>20298.0</v>
      </c>
      <c r="K22" s="25" t="s">
        <v>108</v>
      </c>
      <c r="L22" s="25">
        <v>0.0</v>
      </c>
      <c r="M22" s="25">
        <v>0.0</v>
      </c>
      <c r="N22" s="25" t="s">
        <v>109</v>
      </c>
      <c r="O22" s="39">
        <v>45789.0</v>
      </c>
      <c r="P22" s="39">
        <v>45789.0</v>
      </c>
      <c r="Q22" s="25">
        <v>1.0</v>
      </c>
      <c r="R22" s="25">
        <v>45.0</v>
      </c>
      <c r="S22" s="25" t="s">
        <v>300</v>
      </c>
      <c r="T22" s="25" t="s">
        <v>243</v>
      </c>
      <c r="U22" s="25">
        <v>40000.0</v>
      </c>
      <c r="V22" s="25" t="s">
        <v>326</v>
      </c>
      <c r="W22" s="25" t="s">
        <v>327</v>
      </c>
      <c r="X22" s="25" t="s">
        <v>328</v>
      </c>
      <c r="Y22" s="25" t="s">
        <v>329</v>
      </c>
      <c r="AC22" s="25" t="s">
        <v>119</v>
      </c>
      <c r="AD22" s="25" t="s">
        <v>142</v>
      </c>
      <c r="AE22" s="25" t="s">
        <v>330</v>
      </c>
      <c r="AF22" s="25" t="s">
        <v>331</v>
      </c>
    </row>
    <row r="23">
      <c r="A23" s="25" t="s">
        <v>332</v>
      </c>
      <c r="B23" s="25" t="s">
        <v>103</v>
      </c>
      <c r="C23" s="25" t="s">
        <v>333</v>
      </c>
      <c r="D23" s="25" t="s">
        <v>334</v>
      </c>
      <c r="E23" s="25" t="s">
        <v>335</v>
      </c>
      <c r="G23" s="25">
        <v>0.0</v>
      </c>
      <c r="H23" s="25">
        <v>20800.0</v>
      </c>
      <c r="I23" s="25">
        <v>20800.0</v>
      </c>
      <c r="J23" s="25">
        <v>20800.0</v>
      </c>
      <c r="K23" s="25" t="s">
        <v>108</v>
      </c>
      <c r="L23" s="25">
        <v>0.0</v>
      </c>
      <c r="M23" s="25">
        <v>0.0</v>
      </c>
      <c r="N23" s="25" t="s">
        <v>109</v>
      </c>
      <c r="O23" s="39">
        <v>45436.0</v>
      </c>
      <c r="P23" s="39">
        <v>45436.0</v>
      </c>
      <c r="Q23" s="25">
        <v>1.0</v>
      </c>
      <c r="R23" s="25">
        <v>398.0</v>
      </c>
      <c r="S23" s="25" t="s">
        <v>300</v>
      </c>
      <c r="T23" s="25" t="s">
        <v>243</v>
      </c>
      <c r="U23" s="25">
        <v>45000.0</v>
      </c>
      <c r="V23" s="25" t="s">
        <v>254</v>
      </c>
      <c r="W23" s="25" t="s">
        <v>336</v>
      </c>
      <c r="X23" s="25" t="s">
        <v>256</v>
      </c>
      <c r="Y23" s="25" t="s">
        <v>337</v>
      </c>
      <c r="AC23" s="25" t="s">
        <v>119</v>
      </c>
      <c r="AD23" s="25" t="s">
        <v>142</v>
      </c>
      <c r="AE23" s="25" t="s">
        <v>338</v>
      </c>
      <c r="AF23" s="25" t="s">
        <v>339</v>
      </c>
    </row>
    <row r="24">
      <c r="A24" s="25" t="s">
        <v>340</v>
      </c>
      <c r="B24" s="25" t="s">
        <v>103</v>
      </c>
      <c r="C24" s="25" t="s">
        <v>341</v>
      </c>
      <c r="D24" s="25" t="s">
        <v>342</v>
      </c>
      <c r="E24" s="25" t="s">
        <v>343</v>
      </c>
      <c r="G24" s="25">
        <v>0.0</v>
      </c>
      <c r="H24" s="25">
        <v>18400.0</v>
      </c>
      <c r="I24" s="25">
        <v>18400.0</v>
      </c>
      <c r="J24" s="25">
        <v>18400.0</v>
      </c>
      <c r="K24" s="25" t="s">
        <v>108</v>
      </c>
      <c r="L24" s="25">
        <v>0.0</v>
      </c>
      <c r="M24" s="25">
        <v>0.0</v>
      </c>
      <c r="N24" s="25" t="s">
        <v>109</v>
      </c>
      <c r="O24" s="39">
        <v>45427.0</v>
      </c>
      <c r="P24" s="39">
        <v>45427.0</v>
      </c>
      <c r="Q24" s="25">
        <v>1.0</v>
      </c>
      <c r="R24" s="25">
        <v>407.0</v>
      </c>
      <c r="S24" s="25" t="s">
        <v>300</v>
      </c>
      <c r="T24" s="25" t="s">
        <v>243</v>
      </c>
      <c r="U24" s="25">
        <v>35000.0</v>
      </c>
      <c r="V24" s="25" t="s">
        <v>254</v>
      </c>
      <c r="W24" s="25" t="s">
        <v>344</v>
      </c>
      <c r="X24" s="25" t="s">
        <v>256</v>
      </c>
      <c r="Y24" s="25" t="s">
        <v>345</v>
      </c>
      <c r="AC24" s="25" t="s">
        <v>119</v>
      </c>
      <c r="AD24" s="25" t="s">
        <v>142</v>
      </c>
      <c r="AE24" s="25" t="s">
        <v>346</v>
      </c>
      <c r="AF24" s="25" t="s">
        <v>347</v>
      </c>
    </row>
    <row r="25">
      <c r="A25" s="25" t="s">
        <v>348</v>
      </c>
      <c r="B25" s="25" t="s">
        <v>238</v>
      </c>
      <c r="C25" s="25" t="s">
        <v>349</v>
      </c>
      <c r="D25" s="25" t="s">
        <v>350</v>
      </c>
      <c r="E25" s="25" t="s">
        <v>351</v>
      </c>
      <c r="G25" s="25">
        <v>0.0</v>
      </c>
      <c r="H25" s="25">
        <v>17285.0</v>
      </c>
      <c r="I25" s="25">
        <v>17285.0</v>
      </c>
      <c r="J25" s="25">
        <v>17285.0</v>
      </c>
      <c r="K25" s="25" t="s">
        <v>108</v>
      </c>
      <c r="L25" s="25">
        <v>0.0</v>
      </c>
      <c r="M25" s="25">
        <v>0.0</v>
      </c>
      <c r="N25" s="25" t="s">
        <v>109</v>
      </c>
      <c r="O25" s="39">
        <v>45385.0</v>
      </c>
      <c r="P25" s="39">
        <v>45385.0</v>
      </c>
      <c r="Q25" s="25">
        <v>1.0</v>
      </c>
      <c r="R25" s="25">
        <v>449.0</v>
      </c>
      <c r="S25" s="25" t="s">
        <v>300</v>
      </c>
      <c r="T25" s="25" t="s">
        <v>243</v>
      </c>
      <c r="U25" s="25">
        <v>40000.0</v>
      </c>
      <c r="V25" s="25" t="s">
        <v>254</v>
      </c>
      <c r="W25" s="25" t="s">
        <v>255</v>
      </c>
      <c r="X25" s="25" t="s">
        <v>256</v>
      </c>
      <c r="Y25" s="25" t="s">
        <v>352</v>
      </c>
      <c r="AC25" s="25" t="s">
        <v>119</v>
      </c>
      <c r="AD25" s="25" t="s">
        <v>247</v>
      </c>
      <c r="AE25" s="25" t="s">
        <v>353</v>
      </c>
      <c r="AF25" s="25" t="s">
        <v>354</v>
      </c>
    </row>
    <row r="26">
      <c r="A26" s="25" t="s">
        <v>355</v>
      </c>
      <c r="B26" s="25" t="s">
        <v>103</v>
      </c>
      <c r="C26" s="25" t="s">
        <v>356</v>
      </c>
      <c r="D26" s="25" t="s">
        <v>357</v>
      </c>
      <c r="E26" s="25" t="s">
        <v>358</v>
      </c>
      <c r="G26" s="25">
        <v>0.0</v>
      </c>
      <c r="H26" s="25">
        <v>16618.0</v>
      </c>
      <c r="I26" s="25">
        <v>16618.0</v>
      </c>
      <c r="J26" s="25">
        <v>16618.0</v>
      </c>
      <c r="K26" s="25" t="s">
        <v>108</v>
      </c>
      <c r="L26" s="25">
        <v>0.0</v>
      </c>
      <c r="M26" s="25">
        <v>0.0</v>
      </c>
      <c r="N26" s="25" t="s">
        <v>109</v>
      </c>
      <c r="O26" s="39">
        <v>45541.0</v>
      </c>
      <c r="P26" s="39">
        <v>45541.0</v>
      </c>
      <c r="Q26" s="25">
        <v>1.0</v>
      </c>
      <c r="R26" s="25">
        <v>293.0</v>
      </c>
      <c r="S26" s="25" t="s">
        <v>300</v>
      </c>
      <c r="T26" s="25" t="s">
        <v>243</v>
      </c>
      <c r="U26" s="25">
        <v>35000.0</v>
      </c>
      <c r="V26" s="25" t="s">
        <v>254</v>
      </c>
      <c r="W26" s="25" t="s">
        <v>359</v>
      </c>
      <c r="X26" s="25" t="s">
        <v>191</v>
      </c>
      <c r="Y26" s="25" t="s">
        <v>360</v>
      </c>
      <c r="AC26" s="25" t="s">
        <v>119</v>
      </c>
      <c r="AD26" s="25" t="s">
        <v>142</v>
      </c>
      <c r="AE26" s="25" t="s">
        <v>361</v>
      </c>
      <c r="AF26" s="25" t="s">
        <v>362</v>
      </c>
    </row>
    <row r="27">
      <c r="A27" s="25" t="s">
        <v>363</v>
      </c>
      <c r="B27" s="25" t="s">
        <v>103</v>
      </c>
      <c r="C27" s="25" t="s">
        <v>364</v>
      </c>
      <c r="D27" s="25" t="s">
        <v>365</v>
      </c>
      <c r="E27" s="25" t="s">
        <v>366</v>
      </c>
      <c r="G27" s="25">
        <v>0.0</v>
      </c>
      <c r="H27" s="25">
        <v>16158.0</v>
      </c>
      <c r="I27" s="25">
        <v>16158.0</v>
      </c>
      <c r="J27" s="25">
        <v>16158.0</v>
      </c>
      <c r="K27" s="25" t="s">
        <v>108</v>
      </c>
      <c r="L27" s="25">
        <v>0.0</v>
      </c>
      <c r="M27" s="25">
        <v>0.0</v>
      </c>
      <c r="N27" s="25" t="s">
        <v>109</v>
      </c>
      <c r="O27" s="39">
        <v>45541.0</v>
      </c>
      <c r="P27" s="39">
        <v>45541.0</v>
      </c>
      <c r="Q27" s="25">
        <v>1.0</v>
      </c>
      <c r="R27" s="25">
        <v>293.0</v>
      </c>
      <c r="S27" s="25" t="s">
        <v>300</v>
      </c>
      <c r="T27" s="25" t="s">
        <v>243</v>
      </c>
      <c r="U27" s="25">
        <v>32000.0</v>
      </c>
      <c r="V27" s="25" t="s">
        <v>254</v>
      </c>
      <c r="W27" s="25" t="s">
        <v>301</v>
      </c>
      <c r="X27" s="25" t="s">
        <v>191</v>
      </c>
      <c r="Y27" s="25" t="s">
        <v>367</v>
      </c>
      <c r="AC27" s="25" t="s">
        <v>119</v>
      </c>
      <c r="AD27" s="25" t="s">
        <v>142</v>
      </c>
      <c r="AE27" s="25" t="s">
        <v>368</v>
      </c>
      <c r="AF27" s="25" t="s">
        <v>369</v>
      </c>
    </row>
    <row r="28">
      <c r="A28" s="25" t="s">
        <v>370</v>
      </c>
      <c r="B28" s="25" t="s">
        <v>103</v>
      </c>
      <c r="C28" s="25" t="s">
        <v>371</v>
      </c>
      <c r="D28" s="25" t="s">
        <v>372</v>
      </c>
      <c r="E28" s="40" t="s">
        <v>373</v>
      </c>
      <c r="G28" s="25">
        <v>0.0</v>
      </c>
      <c r="H28" s="25">
        <v>15870.0</v>
      </c>
      <c r="I28" s="25">
        <v>15870.0</v>
      </c>
      <c r="J28" s="25">
        <v>15870.0</v>
      </c>
      <c r="K28" s="25" t="s">
        <v>108</v>
      </c>
      <c r="L28" s="25">
        <v>0.0</v>
      </c>
      <c r="M28" s="25">
        <v>0.0</v>
      </c>
      <c r="N28" s="25" t="s">
        <v>109</v>
      </c>
      <c r="O28" s="39">
        <v>45429.0</v>
      </c>
      <c r="P28" s="39">
        <v>45429.0</v>
      </c>
      <c r="Q28" s="25">
        <v>1.0</v>
      </c>
      <c r="R28" s="25">
        <v>405.0</v>
      </c>
      <c r="S28" s="25" t="s">
        <v>300</v>
      </c>
      <c r="T28" s="25" t="s">
        <v>243</v>
      </c>
      <c r="U28" s="25">
        <v>32000.0</v>
      </c>
      <c r="V28" s="25" t="s">
        <v>254</v>
      </c>
      <c r="W28" s="25" t="s">
        <v>301</v>
      </c>
      <c r="X28" s="25" t="s">
        <v>256</v>
      </c>
      <c r="Y28" s="25" t="s">
        <v>374</v>
      </c>
      <c r="AC28" s="25" t="s">
        <v>119</v>
      </c>
      <c r="AD28" s="25" t="s">
        <v>142</v>
      </c>
      <c r="AE28" s="25" t="s">
        <v>375</v>
      </c>
      <c r="AF28" s="25" t="s">
        <v>376</v>
      </c>
    </row>
    <row r="29">
      <c r="A29" s="25" t="s">
        <v>377</v>
      </c>
      <c r="B29" s="25" t="s">
        <v>103</v>
      </c>
      <c r="C29" s="25" t="s">
        <v>378</v>
      </c>
      <c r="D29" s="25" t="s">
        <v>379</v>
      </c>
      <c r="E29" s="25" t="s">
        <v>380</v>
      </c>
      <c r="F29" s="25" t="s">
        <v>381</v>
      </c>
      <c r="G29" s="25">
        <v>0.0</v>
      </c>
      <c r="H29" s="25">
        <v>13398.0</v>
      </c>
      <c r="I29" s="25">
        <v>12995.0</v>
      </c>
      <c r="J29" s="25">
        <v>6699.0</v>
      </c>
      <c r="K29" s="25" t="s">
        <v>108</v>
      </c>
      <c r="L29" s="25">
        <v>0.0</v>
      </c>
      <c r="M29" s="25">
        <v>0.0</v>
      </c>
      <c r="N29" s="25" t="s">
        <v>109</v>
      </c>
      <c r="O29" s="39">
        <v>45316.0</v>
      </c>
      <c r="P29" s="39">
        <v>45330.0</v>
      </c>
      <c r="Q29" s="25">
        <v>2.0</v>
      </c>
      <c r="R29" s="25">
        <v>503.0</v>
      </c>
      <c r="S29" s="25" t="s">
        <v>272</v>
      </c>
      <c r="T29" s="25" t="s">
        <v>273</v>
      </c>
      <c r="U29" s="25">
        <v>25000.0</v>
      </c>
      <c r="V29" s="25" t="s">
        <v>309</v>
      </c>
      <c r="W29" s="25" t="s">
        <v>382</v>
      </c>
      <c r="X29" s="25" t="s">
        <v>256</v>
      </c>
      <c r="Y29" s="25" t="s">
        <v>257</v>
      </c>
      <c r="AC29" s="25" t="s">
        <v>119</v>
      </c>
      <c r="AD29" s="25" t="s">
        <v>142</v>
      </c>
      <c r="AE29" s="25" t="s">
        <v>383</v>
      </c>
      <c r="AF29" s="25" t="s">
        <v>384</v>
      </c>
    </row>
    <row r="30">
      <c r="A30" s="25" t="s">
        <v>385</v>
      </c>
      <c r="B30" s="25" t="s">
        <v>103</v>
      </c>
      <c r="C30" s="25" t="s">
        <v>386</v>
      </c>
      <c r="D30" s="25" t="s">
        <v>387</v>
      </c>
      <c r="E30" s="25" t="s">
        <v>388</v>
      </c>
      <c r="G30" s="25">
        <v>0.0</v>
      </c>
      <c r="H30" s="25">
        <v>13570.0</v>
      </c>
      <c r="I30" s="25">
        <v>13570.0</v>
      </c>
      <c r="J30" s="25">
        <v>13570.0</v>
      </c>
      <c r="K30" s="25" t="s">
        <v>108</v>
      </c>
      <c r="L30" s="25">
        <v>0.0</v>
      </c>
      <c r="M30" s="25">
        <v>0.0</v>
      </c>
      <c r="N30" s="25" t="s">
        <v>109</v>
      </c>
      <c r="O30" s="39">
        <v>45420.0</v>
      </c>
      <c r="P30" s="39">
        <v>45420.0</v>
      </c>
      <c r="Q30" s="25">
        <v>1.0</v>
      </c>
      <c r="R30" s="25">
        <v>414.0</v>
      </c>
      <c r="S30" s="25" t="s">
        <v>300</v>
      </c>
      <c r="T30" s="25" t="s">
        <v>243</v>
      </c>
      <c r="U30" s="25">
        <v>30000.0</v>
      </c>
      <c r="V30" s="25" t="s">
        <v>254</v>
      </c>
      <c r="W30" s="25" t="s">
        <v>389</v>
      </c>
      <c r="X30" s="25" t="s">
        <v>256</v>
      </c>
      <c r="Y30" s="25" t="s">
        <v>390</v>
      </c>
      <c r="AC30" s="25" t="s">
        <v>119</v>
      </c>
      <c r="AD30" s="25" t="s">
        <v>391</v>
      </c>
      <c r="AE30" s="25" t="s">
        <v>392</v>
      </c>
      <c r="AF30" s="25" t="s">
        <v>393</v>
      </c>
    </row>
    <row r="31">
      <c r="A31" s="25" t="s">
        <v>394</v>
      </c>
      <c r="B31" s="25" t="s">
        <v>238</v>
      </c>
      <c r="C31" s="25" t="s">
        <v>395</v>
      </c>
      <c r="D31" s="25" t="s">
        <v>396</v>
      </c>
      <c r="E31" s="25" t="s">
        <v>397</v>
      </c>
      <c r="G31" s="25">
        <v>0.0</v>
      </c>
      <c r="H31" s="25">
        <v>13668.0</v>
      </c>
      <c r="I31" s="25">
        <v>13668.0</v>
      </c>
      <c r="J31" s="25">
        <v>13668.0</v>
      </c>
      <c r="K31" s="25" t="s">
        <v>108</v>
      </c>
      <c r="L31" s="25">
        <v>0.0</v>
      </c>
      <c r="M31" s="25">
        <v>0.0</v>
      </c>
      <c r="N31" s="25" t="s">
        <v>109</v>
      </c>
      <c r="O31" s="39">
        <v>45342.0</v>
      </c>
      <c r="P31" s="39">
        <v>45342.0</v>
      </c>
      <c r="Q31" s="25">
        <v>1.0</v>
      </c>
      <c r="R31" s="25">
        <v>491.0</v>
      </c>
      <c r="S31" s="25" t="s">
        <v>300</v>
      </c>
      <c r="T31" s="25" t="s">
        <v>243</v>
      </c>
      <c r="U31" s="25">
        <v>35000.0</v>
      </c>
      <c r="V31" s="25" t="s">
        <v>254</v>
      </c>
      <c r="W31" s="25" t="s">
        <v>255</v>
      </c>
      <c r="X31" s="25" t="s">
        <v>256</v>
      </c>
      <c r="Y31" s="25" t="s">
        <v>352</v>
      </c>
      <c r="AC31" s="25" t="s">
        <v>119</v>
      </c>
      <c r="AD31" s="25" t="s">
        <v>247</v>
      </c>
      <c r="AE31" s="25" t="s">
        <v>398</v>
      </c>
      <c r="AF31" s="25" t="s">
        <v>399</v>
      </c>
    </row>
    <row r="32">
      <c r="A32" s="25" t="s">
        <v>400</v>
      </c>
      <c r="B32" s="25" t="s">
        <v>103</v>
      </c>
      <c r="C32" s="25" t="s">
        <v>401</v>
      </c>
      <c r="D32" s="25" t="s">
        <v>402</v>
      </c>
      <c r="E32" s="25" t="s">
        <v>403</v>
      </c>
      <c r="G32" s="25">
        <v>0.0</v>
      </c>
      <c r="H32" s="25">
        <v>62878.0</v>
      </c>
      <c r="I32" s="25">
        <v>15238.0</v>
      </c>
      <c r="J32" s="25">
        <v>20959.0</v>
      </c>
      <c r="K32" s="25" t="s">
        <v>108</v>
      </c>
      <c r="L32" s="25">
        <v>0.0</v>
      </c>
      <c r="M32" s="25">
        <v>0.0</v>
      </c>
      <c r="N32" s="25" t="s">
        <v>109</v>
      </c>
      <c r="O32" s="39">
        <v>45345.0</v>
      </c>
      <c r="P32" s="39">
        <v>45573.0</v>
      </c>
      <c r="Q32" s="25">
        <v>3.0</v>
      </c>
      <c r="R32" s="25">
        <v>261.0</v>
      </c>
      <c r="S32" s="25" t="s">
        <v>318</v>
      </c>
      <c r="T32" s="25" t="s">
        <v>273</v>
      </c>
      <c r="U32" s="25">
        <v>50000.0</v>
      </c>
      <c r="V32" s="25" t="s">
        <v>404</v>
      </c>
      <c r="W32" s="25" t="s">
        <v>405</v>
      </c>
      <c r="X32" s="25" t="s">
        <v>276</v>
      </c>
      <c r="Y32" s="25" t="s">
        <v>406</v>
      </c>
      <c r="AC32" s="25" t="s">
        <v>119</v>
      </c>
      <c r="AD32" s="25" t="s">
        <v>142</v>
      </c>
      <c r="AE32" s="25" t="s">
        <v>407</v>
      </c>
      <c r="AF32" s="25" t="s">
        <v>408</v>
      </c>
    </row>
    <row r="33">
      <c r="A33" s="25" t="s">
        <v>409</v>
      </c>
      <c r="B33" s="25" t="s">
        <v>410</v>
      </c>
      <c r="C33" s="25" t="s">
        <v>411</v>
      </c>
      <c r="D33" s="25">
        <v>8.34522258E8</v>
      </c>
      <c r="E33" s="25" t="s">
        <v>412</v>
      </c>
      <c r="G33" s="25">
        <v>0.0</v>
      </c>
      <c r="H33" s="25">
        <v>12018.0</v>
      </c>
      <c r="I33" s="25">
        <v>12018.0</v>
      </c>
      <c r="J33" s="25">
        <v>12018.0</v>
      </c>
      <c r="K33" s="25" t="s">
        <v>108</v>
      </c>
      <c r="L33" s="25">
        <v>0.0</v>
      </c>
      <c r="M33" s="25">
        <v>0.0</v>
      </c>
      <c r="N33" s="25" t="s">
        <v>109</v>
      </c>
      <c r="O33" s="39">
        <v>45749.0</v>
      </c>
      <c r="P33" s="39">
        <v>45749.0</v>
      </c>
      <c r="Q33" s="25">
        <v>1.0</v>
      </c>
      <c r="R33" s="25">
        <v>85.0</v>
      </c>
      <c r="S33" s="25" t="s">
        <v>300</v>
      </c>
      <c r="T33" s="25" t="s">
        <v>243</v>
      </c>
      <c r="U33" s="25">
        <v>30000.0</v>
      </c>
      <c r="V33" s="25" t="s">
        <v>326</v>
      </c>
      <c r="W33" s="25" t="s">
        <v>413</v>
      </c>
      <c r="X33" s="25" t="s">
        <v>26</v>
      </c>
      <c r="Y33" s="25" t="s">
        <v>414</v>
      </c>
      <c r="AC33" s="25" t="s">
        <v>119</v>
      </c>
      <c r="AD33" s="25" t="s">
        <v>415</v>
      </c>
      <c r="AE33" s="25" t="s">
        <v>416</v>
      </c>
      <c r="AF33" s="25" t="s">
        <v>417</v>
      </c>
    </row>
    <row r="34">
      <c r="A34" s="25" t="s">
        <v>418</v>
      </c>
      <c r="B34" s="25" t="s">
        <v>103</v>
      </c>
      <c r="C34" s="25" t="s">
        <v>419</v>
      </c>
      <c r="D34" s="25" t="s">
        <v>420</v>
      </c>
      <c r="E34" s="25" t="s">
        <v>421</v>
      </c>
      <c r="G34" s="25">
        <v>0.0</v>
      </c>
      <c r="H34" s="25">
        <v>47656.0</v>
      </c>
      <c r="I34" s="25">
        <v>9660.0</v>
      </c>
      <c r="J34" s="25">
        <v>15885.0</v>
      </c>
      <c r="K34" s="25" t="s">
        <v>108</v>
      </c>
      <c r="L34" s="25">
        <v>0.0</v>
      </c>
      <c r="M34" s="25">
        <v>0.0</v>
      </c>
      <c r="N34" s="25" t="s">
        <v>109</v>
      </c>
      <c r="O34" s="39">
        <v>45369.0</v>
      </c>
      <c r="P34" s="39">
        <v>45525.0</v>
      </c>
      <c r="Q34" s="25">
        <v>3.0</v>
      </c>
      <c r="R34" s="25">
        <v>309.0</v>
      </c>
      <c r="S34" s="25" t="s">
        <v>318</v>
      </c>
      <c r="T34" s="25" t="s">
        <v>273</v>
      </c>
      <c r="U34" s="25">
        <v>40000.0</v>
      </c>
      <c r="V34" s="25" t="s">
        <v>404</v>
      </c>
      <c r="W34" s="25" t="s">
        <v>310</v>
      </c>
      <c r="X34" s="25" t="s">
        <v>276</v>
      </c>
      <c r="Y34" s="25" t="s">
        <v>422</v>
      </c>
      <c r="AC34" s="25" t="s">
        <v>119</v>
      </c>
      <c r="AD34" s="25" t="s">
        <v>142</v>
      </c>
      <c r="AE34" s="25" t="s">
        <v>423</v>
      </c>
      <c r="AF34" s="25" t="s">
        <v>424</v>
      </c>
    </row>
    <row r="35">
      <c r="A35" s="25" t="s">
        <v>425</v>
      </c>
      <c r="B35" s="25" t="s">
        <v>103</v>
      </c>
      <c r="C35" s="25" t="s">
        <v>426</v>
      </c>
      <c r="D35" s="25" t="s">
        <v>427</v>
      </c>
      <c r="E35" s="25" t="s">
        <v>428</v>
      </c>
      <c r="G35" s="25">
        <v>0.0</v>
      </c>
      <c r="H35" s="25">
        <v>21850.0</v>
      </c>
      <c r="I35" s="25">
        <v>11730.0</v>
      </c>
      <c r="J35" s="25">
        <v>10925.0</v>
      </c>
      <c r="K35" s="25" t="s">
        <v>108</v>
      </c>
      <c r="L35" s="25">
        <v>0.0</v>
      </c>
      <c r="M35" s="25">
        <v>0.0</v>
      </c>
      <c r="N35" s="25" t="s">
        <v>109</v>
      </c>
      <c r="O35" s="39">
        <v>45450.0</v>
      </c>
      <c r="P35" s="39">
        <v>45485.0</v>
      </c>
      <c r="Q35" s="25">
        <v>2.0</v>
      </c>
      <c r="R35" s="25">
        <v>349.0</v>
      </c>
      <c r="S35" s="25" t="s">
        <v>272</v>
      </c>
      <c r="T35" s="25" t="s">
        <v>273</v>
      </c>
      <c r="U35" s="25">
        <v>35000.0</v>
      </c>
      <c r="V35" s="25" t="s">
        <v>309</v>
      </c>
      <c r="W35" s="25" t="s">
        <v>429</v>
      </c>
      <c r="X35" s="25" t="s">
        <v>276</v>
      </c>
      <c r="Y35" s="25" t="s">
        <v>430</v>
      </c>
      <c r="AC35" s="25" t="s">
        <v>119</v>
      </c>
      <c r="AD35" s="25" t="s">
        <v>431</v>
      </c>
      <c r="AE35" s="25" t="s">
        <v>432</v>
      </c>
      <c r="AF35" s="25" t="s">
        <v>433</v>
      </c>
    </row>
    <row r="36">
      <c r="A36" s="25" t="s">
        <v>434</v>
      </c>
      <c r="B36" s="25" t="s">
        <v>103</v>
      </c>
      <c r="C36" s="25" t="s">
        <v>435</v>
      </c>
      <c r="E36" s="25" t="s">
        <v>436</v>
      </c>
      <c r="G36" s="25">
        <v>0.0</v>
      </c>
      <c r="H36" s="25">
        <v>8924.0</v>
      </c>
      <c r="I36" s="25">
        <v>8924.0</v>
      </c>
      <c r="J36" s="25">
        <v>8924.0</v>
      </c>
      <c r="K36" s="25" t="s">
        <v>108</v>
      </c>
      <c r="L36" s="25">
        <v>0.0</v>
      </c>
      <c r="M36" s="25">
        <v>0.0</v>
      </c>
      <c r="N36" s="25" t="s">
        <v>109</v>
      </c>
      <c r="O36" s="39">
        <v>45330.0</v>
      </c>
      <c r="P36" s="39">
        <v>45330.0</v>
      </c>
      <c r="Q36" s="25">
        <v>1.0</v>
      </c>
      <c r="R36" s="25">
        <v>503.0</v>
      </c>
      <c r="S36" s="25" t="s">
        <v>300</v>
      </c>
      <c r="T36" s="25" t="s">
        <v>243</v>
      </c>
      <c r="U36" s="25">
        <v>25000.0</v>
      </c>
      <c r="V36" s="25" t="s">
        <v>254</v>
      </c>
      <c r="W36" s="25" t="s">
        <v>437</v>
      </c>
      <c r="X36" s="25" t="s">
        <v>256</v>
      </c>
      <c r="Y36" s="25" t="s">
        <v>438</v>
      </c>
      <c r="AC36" s="25" t="s">
        <v>119</v>
      </c>
      <c r="AD36" s="25" t="s">
        <v>142</v>
      </c>
      <c r="AE36" s="25" t="s">
        <v>439</v>
      </c>
      <c r="AF36" s="25" t="s">
        <v>440</v>
      </c>
    </row>
    <row r="37">
      <c r="A37" s="25" t="s">
        <v>441</v>
      </c>
      <c r="B37" s="25" t="s">
        <v>103</v>
      </c>
      <c r="C37" s="25" t="s">
        <v>442</v>
      </c>
      <c r="D37" s="25" t="s">
        <v>443</v>
      </c>
      <c r="E37" s="25" t="s">
        <v>444</v>
      </c>
      <c r="G37" s="25">
        <v>0.0</v>
      </c>
      <c r="H37" s="25">
        <v>3335.0</v>
      </c>
      <c r="I37" s="25">
        <v>3335.0</v>
      </c>
      <c r="J37" s="25">
        <v>3335.0</v>
      </c>
      <c r="K37" s="25" t="s">
        <v>108</v>
      </c>
      <c r="L37" s="25">
        <v>0.0</v>
      </c>
      <c r="M37" s="25">
        <v>0.0</v>
      </c>
      <c r="N37" s="25" t="s">
        <v>109</v>
      </c>
      <c r="O37" s="39">
        <v>45335.0</v>
      </c>
      <c r="P37" s="39">
        <v>45335.0</v>
      </c>
      <c r="Q37" s="25">
        <v>1.0</v>
      </c>
      <c r="R37" s="25">
        <v>498.0</v>
      </c>
      <c r="S37" s="25" t="s">
        <v>445</v>
      </c>
      <c r="T37" s="25" t="s">
        <v>446</v>
      </c>
      <c r="U37" s="25">
        <v>15000.0</v>
      </c>
      <c r="V37" s="25" t="s">
        <v>254</v>
      </c>
      <c r="W37" s="25" t="s">
        <v>437</v>
      </c>
      <c r="X37" s="25" t="s">
        <v>256</v>
      </c>
      <c r="Y37" s="25" t="s">
        <v>447</v>
      </c>
      <c r="AC37" s="25" t="s">
        <v>119</v>
      </c>
      <c r="AD37" s="25" t="s">
        <v>142</v>
      </c>
      <c r="AE37" s="25" t="s">
        <v>448</v>
      </c>
      <c r="AF37" s="25" t="s">
        <v>449</v>
      </c>
    </row>
    <row r="38">
      <c r="A38" s="25" t="s">
        <v>450</v>
      </c>
      <c r="B38" s="25" t="s">
        <v>103</v>
      </c>
      <c r="C38" s="25" t="s">
        <v>451</v>
      </c>
      <c r="D38" s="25" t="s">
        <v>452</v>
      </c>
      <c r="E38" s="25" t="s">
        <v>453</v>
      </c>
      <c r="G38" s="25">
        <v>0.0</v>
      </c>
      <c r="H38" s="25">
        <v>2300.0</v>
      </c>
      <c r="I38" s="25">
        <v>2300.0</v>
      </c>
      <c r="J38" s="25">
        <v>2300.0</v>
      </c>
      <c r="K38" s="25" t="s">
        <v>108</v>
      </c>
      <c r="L38" s="25">
        <v>0.0</v>
      </c>
      <c r="M38" s="25">
        <v>0.0</v>
      </c>
      <c r="N38" s="25" t="s">
        <v>109</v>
      </c>
      <c r="O38" s="39">
        <v>45443.0</v>
      </c>
      <c r="P38" s="39">
        <v>45443.0</v>
      </c>
      <c r="Q38" s="25">
        <v>1.0</v>
      </c>
      <c r="R38" s="25">
        <v>391.0</v>
      </c>
      <c r="S38" s="25" t="s">
        <v>445</v>
      </c>
      <c r="T38" s="25" t="s">
        <v>446</v>
      </c>
      <c r="U38" s="25">
        <v>10000.0</v>
      </c>
      <c r="V38" s="25" t="s">
        <v>254</v>
      </c>
      <c r="W38" s="25" t="s">
        <v>454</v>
      </c>
      <c r="X38" s="25" t="s">
        <v>256</v>
      </c>
      <c r="Y38" s="25" t="s">
        <v>455</v>
      </c>
      <c r="AC38" s="25" t="s">
        <v>119</v>
      </c>
      <c r="AD38" s="25" t="s">
        <v>142</v>
      </c>
      <c r="AE38" s="25" t="s">
        <v>456</v>
      </c>
      <c r="AF38" s="25" t="s">
        <v>457</v>
      </c>
    </row>
    <row r="39">
      <c r="A39" s="25" t="s">
        <v>458</v>
      </c>
      <c r="B39" s="25" t="s">
        <v>103</v>
      </c>
      <c r="C39" s="25" t="s">
        <v>459</v>
      </c>
      <c r="D39" s="25" t="s">
        <v>460</v>
      </c>
      <c r="E39" s="25" t="s">
        <v>461</v>
      </c>
      <c r="G39" s="25">
        <v>0.0</v>
      </c>
      <c r="H39" s="25">
        <v>288.0</v>
      </c>
      <c r="I39" s="25">
        <v>288.0</v>
      </c>
      <c r="J39" s="25">
        <v>288.0</v>
      </c>
      <c r="K39" s="25" t="s">
        <v>108</v>
      </c>
      <c r="L39" s="25">
        <v>0.0</v>
      </c>
      <c r="M39" s="25">
        <v>0.0</v>
      </c>
      <c r="N39" s="25" t="s">
        <v>109</v>
      </c>
      <c r="O39" s="39">
        <v>45385.0</v>
      </c>
      <c r="P39" s="39">
        <v>45385.0</v>
      </c>
      <c r="Q39" s="25">
        <v>1.0</v>
      </c>
      <c r="R39" s="25">
        <v>449.0</v>
      </c>
      <c r="S39" s="25" t="s">
        <v>445</v>
      </c>
      <c r="T39" s="25" t="s">
        <v>446</v>
      </c>
      <c r="U39" s="25">
        <v>5000.0</v>
      </c>
      <c r="V39" s="25" t="s">
        <v>254</v>
      </c>
      <c r="W39" s="25" t="s">
        <v>462</v>
      </c>
      <c r="X39" s="25" t="s">
        <v>256</v>
      </c>
      <c r="Y39" s="25" t="s">
        <v>455</v>
      </c>
      <c r="AC39" s="25" t="s">
        <v>119</v>
      </c>
      <c r="AD39" s="25" t="s">
        <v>142</v>
      </c>
      <c r="AE39" s="25" t="s">
        <v>463</v>
      </c>
      <c r="AF39" s="25" t="s">
        <v>464</v>
      </c>
    </row>
    <row r="40">
      <c r="A40" s="25" t="s">
        <v>465</v>
      </c>
      <c r="B40" s="25" t="s">
        <v>466</v>
      </c>
      <c r="C40" s="25" t="s">
        <v>467</v>
      </c>
      <c r="D40" s="25" t="s">
        <v>468</v>
      </c>
      <c r="E40" s="25" t="s">
        <v>469</v>
      </c>
      <c r="G40" s="25">
        <v>0.0</v>
      </c>
      <c r="H40" s="25">
        <v>3278.0</v>
      </c>
      <c r="I40" s="25">
        <v>3278.0</v>
      </c>
      <c r="J40" s="25">
        <v>3278.0</v>
      </c>
      <c r="K40" s="25" t="s">
        <v>108</v>
      </c>
      <c r="L40" s="25">
        <v>0.0</v>
      </c>
      <c r="M40" s="25">
        <v>0.0</v>
      </c>
      <c r="N40" s="25" t="s">
        <v>109</v>
      </c>
      <c r="O40" s="39">
        <v>45720.0</v>
      </c>
      <c r="P40" s="39">
        <v>45720.0</v>
      </c>
      <c r="Q40" s="25">
        <v>1.0</v>
      </c>
      <c r="R40" s="25">
        <v>114.0</v>
      </c>
      <c r="S40" s="25" t="s">
        <v>470</v>
      </c>
      <c r="T40" s="25" t="s">
        <v>446</v>
      </c>
      <c r="U40" s="25">
        <v>10000.0</v>
      </c>
      <c r="V40" s="25" t="s">
        <v>471</v>
      </c>
      <c r="W40" s="25" t="s">
        <v>472</v>
      </c>
      <c r="X40" s="25" t="s">
        <v>473</v>
      </c>
      <c r="Y40" s="25" t="s">
        <v>474</v>
      </c>
      <c r="AC40" s="25" t="s">
        <v>119</v>
      </c>
      <c r="AD40" s="25" t="s">
        <v>475</v>
      </c>
      <c r="AE40" s="25" t="s">
        <v>476</v>
      </c>
      <c r="AF40" s="25" t="s">
        <v>477</v>
      </c>
    </row>
    <row r="41">
      <c r="A41" s="25" t="s">
        <v>478</v>
      </c>
      <c r="B41" s="25" t="s">
        <v>103</v>
      </c>
      <c r="C41" s="25" t="s">
        <v>479</v>
      </c>
      <c r="D41" s="41" t="s">
        <v>480</v>
      </c>
      <c r="E41" s="42" t="s">
        <v>481</v>
      </c>
      <c r="F41" s="41" t="s">
        <v>482</v>
      </c>
      <c r="K41" s="42" t="s">
        <v>108</v>
      </c>
    </row>
  </sheetData>
  <hyperlinks>
    <hyperlink r:id="rId1" ref="E5"/>
    <hyperlink r:id="rId2" ref="E28"/>
  </hyperlinks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sheetData>
    <row r="1">
      <c r="A1" s="43" t="s">
        <v>483</v>
      </c>
    </row>
    <row r="2">
      <c r="A2" s="43" t="s">
        <v>484</v>
      </c>
      <c r="B2" s="43" t="s">
        <v>485</v>
      </c>
    </row>
    <row r="3">
      <c r="A3" s="43" t="s">
        <v>38</v>
      </c>
      <c r="B3" s="43">
        <v>350.0</v>
      </c>
    </row>
    <row r="4">
      <c r="A4" s="43" t="s">
        <v>26</v>
      </c>
      <c r="B4" s="43">
        <v>450.0</v>
      </c>
    </row>
    <row r="5">
      <c r="A5" s="43" t="s">
        <v>486</v>
      </c>
      <c r="B5" s="43">
        <v>550.0</v>
      </c>
    </row>
    <row r="6">
      <c r="A6" s="43" t="s">
        <v>487</v>
      </c>
      <c r="B6" s="43">
        <v>750.0</v>
      </c>
    </row>
    <row r="8">
      <c r="A8" s="43" t="s">
        <v>488</v>
      </c>
    </row>
    <row r="9">
      <c r="A9" s="43" t="s">
        <v>489</v>
      </c>
      <c r="B9" s="43" t="s">
        <v>490</v>
      </c>
    </row>
    <row r="10">
      <c r="A10" s="43" t="s">
        <v>114</v>
      </c>
      <c r="B10" s="43">
        <v>1.0</v>
      </c>
    </row>
    <row r="11">
      <c r="A11" s="43" t="s">
        <v>26</v>
      </c>
      <c r="B11" s="43">
        <v>1.2</v>
      </c>
    </row>
    <row r="12">
      <c r="A12" s="43" t="s">
        <v>491</v>
      </c>
      <c r="B12" s="43">
        <v>1.4</v>
      </c>
    </row>
    <row r="13">
      <c r="A13" s="43" t="s">
        <v>492</v>
      </c>
      <c r="B13" s="43">
        <v>1.6</v>
      </c>
    </row>
    <row r="15">
      <c r="A15" s="43" t="s">
        <v>493</v>
      </c>
    </row>
    <row r="16">
      <c r="A16" s="43" t="s">
        <v>494</v>
      </c>
      <c r="B16" s="43" t="s">
        <v>490</v>
      </c>
    </row>
    <row r="17">
      <c r="A17" s="25">
        <v>1.0</v>
      </c>
      <c r="B17" s="43">
        <v>1.0</v>
      </c>
    </row>
    <row r="18">
      <c r="A18" s="25">
        <v>2.0</v>
      </c>
      <c r="B18" s="43">
        <v>1.25</v>
      </c>
    </row>
    <row r="19">
      <c r="A19" s="25">
        <v>3.0</v>
      </c>
      <c r="B19" s="43">
        <v>1.5</v>
      </c>
    </row>
    <row r="20">
      <c r="A20" s="25">
        <v>4.0</v>
      </c>
      <c r="B20" s="43">
        <v>1.75</v>
      </c>
    </row>
    <row r="21" ht="15.75" customHeight="1">
      <c r="A21" s="25">
        <v>5.0</v>
      </c>
      <c r="B21" s="43">
        <v>2.0</v>
      </c>
    </row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1.22" defaultRowHeight="15.0"/>
  <cols>
    <col customWidth="1" min="2" max="2" width="76.0"/>
  </cols>
  <sheetData>
    <row r="1">
      <c r="A1" s="43" t="s">
        <v>495</v>
      </c>
    </row>
    <row r="2">
      <c r="A2" s="43" t="s">
        <v>496</v>
      </c>
    </row>
    <row r="4">
      <c r="A4" s="43" t="s">
        <v>497</v>
      </c>
    </row>
    <row r="5">
      <c r="A5" s="43" t="s">
        <v>498</v>
      </c>
    </row>
    <row r="6">
      <c r="A6" s="43" t="s">
        <v>499</v>
      </c>
    </row>
    <row r="7">
      <c r="A7" s="43" t="s">
        <v>500</v>
      </c>
    </row>
    <row r="8">
      <c r="A8" s="43" t="s">
        <v>501</v>
      </c>
    </row>
    <row r="9">
      <c r="A9" s="43" t="s">
        <v>502</v>
      </c>
    </row>
    <row r="11">
      <c r="A11" s="43" t="s">
        <v>503</v>
      </c>
    </row>
    <row r="12">
      <c r="A12" s="43" t="s">
        <v>504</v>
      </c>
    </row>
    <row r="13">
      <c r="A13" s="43" t="s">
        <v>505</v>
      </c>
    </row>
    <row r="14">
      <c r="A14" s="43" t="s">
        <v>506</v>
      </c>
    </row>
    <row r="15">
      <c r="A15" s="43" t="s">
        <v>507</v>
      </c>
    </row>
    <row r="16">
      <c r="A16" s="43" t="s">
        <v>508</v>
      </c>
    </row>
    <row r="17">
      <c r="A17" s="43" t="s">
        <v>509</v>
      </c>
    </row>
    <row r="19">
      <c r="A19" s="43" t="s">
        <v>510</v>
      </c>
    </row>
    <row r="20">
      <c r="A20" s="43" t="s">
        <v>511</v>
      </c>
    </row>
    <row r="21" ht="15.75" customHeight="1">
      <c r="A21" s="43" t="s">
        <v>512</v>
      </c>
    </row>
    <row r="22" ht="15.75" customHeight="1">
      <c r="A22" s="43" t="s">
        <v>513</v>
      </c>
    </row>
    <row r="23" ht="15.75" customHeight="1"/>
    <row r="24" ht="15.75" customHeight="1">
      <c r="A24" s="43" t="s">
        <v>514</v>
      </c>
    </row>
    <row r="25" ht="15.75" customHeight="1">
      <c r="A25" s="43" t="s">
        <v>515</v>
      </c>
    </row>
    <row r="26" ht="15.75" customHeight="1">
      <c r="A26" s="43" t="s">
        <v>516</v>
      </c>
    </row>
    <row r="27" ht="15.75" customHeight="1">
      <c r="A27" s="43" t="s">
        <v>517</v>
      </c>
    </row>
    <row r="28" ht="15.75" customHeight="1"/>
    <row r="29" ht="15.75" customHeight="1">
      <c r="A29" s="43" t="s">
        <v>518</v>
      </c>
    </row>
    <row r="30" ht="15.75" customHeight="1">
      <c r="A30" s="43" t="s">
        <v>519</v>
      </c>
      <c r="B30" s="43" t="s">
        <v>520</v>
      </c>
    </row>
    <row r="31" ht="15.75" customHeight="1">
      <c r="A31" s="43" t="s">
        <v>521</v>
      </c>
      <c r="B31" s="43" t="s">
        <v>522</v>
      </c>
    </row>
    <row r="32" ht="15.75" customHeight="1">
      <c r="A32" s="43" t="s">
        <v>523</v>
      </c>
      <c r="B32" s="43" t="s">
        <v>524</v>
      </c>
    </row>
    <row r="33" ht="15.75" customHeight="1"/>
    <row r="34" ht="15.75" customHeight="1">
      <c r="A34" s="43" t="s">
        <v>525</v>
      </c>
    </row>
    <row r="35" ht="15.75" customHeight="1">
      <c r="A35" s="43" t="s">
        <v>27</v>
      </c>
      <c r="B35" s="43" t="s">
        <v>526</v>
      </c>
    </row>
    <row r="36" ht="15.75" customHeight="1">
      <c r="A36" s="43" t="s">
        <v>34</v>
      </c>
      <c r="B36" s="43" t="s">
        <v>527</v>
      </c>
    </row>
    <row r="37" ht="15.75" customHeight="1">
      <c r="A37" s="43" t="s">
        <v>528</v>
      </c>
      <c r="B37" s="43" t="s">
        <v>529</v>
      </c>
    </row>
    <row r="38" ht="15.75" customHeight="1">
      <c r="A38" s="43" t="s">
        <v>530</v>
      </c>
      <c r="B38" s="43" t="s">
        <v>531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